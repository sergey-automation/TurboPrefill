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codex_без доступа\PR\"/>
    </mc:Choice>
  </mc:AlternateContent>
  <xr:revisionPtr revIDLastSave="0" documentId="8_{43B8EF37-7FD1-4602-B6DB-AC249B29D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10xP104_ub32_191922" localSheetId="0">Лист1!$A$93:$H$105</definedName>
    <definedName name="_10xP104_ub32_turbo_171748" localSheetId="0">Лист1!$A$108:$H$120</definedName>
    <definedName name="_10xP104_ub512_205641_best_baseline" localSheetId="0">Лист1!$A$123:$H$135</definedName>
    <definedName name="_4xRTX_3090_ub768_214051" localSheetId="0">Лист1!$A$63:$H$75</definedName>
    <definedName name="_4xRTX_3090_ub768_turbo_214309" localSheetId="0">Лист1!$A$78:$H$90</definedName>
    <definedName name="_5xRTX_5060_ub768_145602" localSheetId="0">Лист1!$A$3:$H$15</definedName>
    <definedName name="_5xRTX_5060_ub768_turbo_145406" localSheetId="0">Лист1!$A$18:$H$30</definedName>
    <definedName name="_8xRTX_5060_ub768_133700" localSheetId="0">Лист1!$A$33:$H$45</definedName>
    <definedName name="_8xRTX_5060_ub768_turbo_133458" localSheetId="0">Лист1!$A$48:$H$60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4" i="1" l="1"/>
  <c r="K124" i="1"/>
  <c r="L124" i="1"/>
  <c r="M124" i="1"/>
  <c r="N124" i="1"/>
  <c r="J125" i="1"/>
  <c r="K125" i="1"/>
  <c r="L125" i="1"/>
  <c r="M125" i="1"/>
  <c r="N125" i="1"/>
  <c r="J126" i="1"/>
  <c r="K126" i="1"/>
  <c r="L126" i="1"/>
  <c r="M126" i="1"/>
  <c r="N126" i="1"/>
  <c r="J127" i="1"/>
  <c r="K127" i="1"/>
  <c r="L127" i="1"/>
  <c r="M127" i="1"/>
  <c r="N127" i="1"/>
  <c r="J128" i="1"/>
  <c r="K128" i="1"/>
  <c r="L128" i="1"/>
  <c r="M128" i="1"/>
  <c r="N128" i="1"/>
  <c r="J129" i="1"/>
  <c r="K129" i="1"/>
  <c r="L129" i="1"/>
  <c r="M129" i="1"/>
  <c r="N129" i="1"/>
  <c r="J130" i="1"/>
  <c r="K130" i="1"/>
  <c r="L130" i="1"/>
  <c r="M130" i="1"/>
  <c r="N130" i="1"/>
  <c r="J131" i="1"/>
  <c r="K131" i="1"/>
  <c r="L131" i="1"/>
  <c r="M131" i="1"/>
  <c r="N131" i="1"/>
  <c r="J132" i="1"/>
  <c r="K132" i="1"/>
  <c r="L132" i="1"/>
  <c r="M132" i="1"/>
  <c r="N132" i="1"/>
  <c r="J133" i="1"/>
  <c r="K133" i="1"/>
  <c r="L133" i="1"/>
  <c r="M133" i="1"/>
  <c r="N133" i="1"/>
  <c r="J134" i="1"/>
  <c r="K134" i="1"/>
  <c r="L134" i="1"/>
  <c r="M134" i="1"/>
  <c r="N134" i="1"/>
  <c r="J135" i="1"/>
  <c r="K135" i="1"/>
  <c r="L135" i="1"/>
  <c r="M135" i="1"/>
  <c r="N135" i="1"/>
  <c r="J120" i="1"/>
  <c r="J109" i="1"/>
  <c r="K109" i="1"/>
  <c r="L109" i="1"/>
  <c r="M109" i="1"/>
  <c r="N109" i="1"/>
  <c r="J110" i="1"/>
  <c r="K110" i="1"/>
  <c r="L110" i="1"/>
  <c r="M110" i="1"/>
  <c r="N110" i="1"/>
  <c r="J111" i="1"/>
  <c r="K111" i="1"/>
  <c r="L111" i="1"/>
  <c r="M111" i="1"/>
  <c r="N111" i="1"/>
  <c r="J112" i="1"/>
  <c r="K112" i="1"/>
  <c r="L112" i="1"/>
  <c r="M112" i="1"/>
  <c r="N112" i="1"/>
  <c r="J113" i="1"/>
  <c r="K113" i="1"/>
  <c r="L113" i="1"/>
  <c r="M113" i="1"/>
  <c r="N113" i="1"/>
  <c r="J114" i="1"/>
  <c r="K114" i="1"/>
  <c r="L114" i="1"/>
  <c r="M114" i="1"/>
  <c r="N114" i="1"/>
  <c r="J115" i="1"/>
  <c r="K115" i="1"/>
  <c r="L115" i="1"/>
  <c r="M115" i="1"/>
  <c r="N115" i="1"/>
  <c r="J116" i="1"/>
  <c r="K116" i="1"/>
  <c r="L116" i="1"/>
  <c r="M116" i="1"/>
  <c r="N116" i="1"/>
  <c r="J117" i="1"/>
  <c r="K117" i="1"/>
  <c r="L117" i="1"/>
  <c r="M117" i="1"/>
  <c r="N117" i="1"/>
  <c r="J118" i="1"/>
  <c r="K118" i="1"/>
  <c r="L118" i="1"/>
  <c r="M118" i="1"/>
  <c r="N118" i="1"/>
  <c r="J119" i="1"/>
  <c r="K119" i="1"/>
  <c r="L119" i="1"/>
  <c r="M119" i="1"/>
  <c r="N119" i="1"/>
  <c r="K120" i="1"/>
  <c r="L120" i="1"/>
  <c r="M120" i="1"/>
  <c r="N120" i="1"/>
  <c r="J105" i="1"/>
  <c r="J94" i="1"/>
  <c r="K94" i="1"/>
  <c r="L94" i="1"/>
  <c r="M94" i="1"/>
  <c r="N94" i="1"/>
  <c r="J95" i="1"/>
  <c r="K95" i="1"/>
  <c r="L95" i="1"/>
  <c r="M95" i="1"/>
  <c r="N95" i="1"/>
  <c r="J96" i="1"/>
  <c r="K96" i="1"/>
  <c r="L96" i="1"/>
  <c r="M96" i="1"/>
  <c r="N96" i="1"/>
  <c r="J97" i="1"/>
  <c r="K97" i="1"/>
  <c r="L97" i="1"/>
  <c r="M97" i="1"/>
  <c r="N97" i="1"/>
  <c r="J98" i="1"/>
  <c r="K98" i="1"/>
  <c r="L98" i="1"/>
  <c r="M98" i="1"/>
  <c r="N98" i="1"/>
  <c r="J99" i="1"/>
  <c r="K99" i="1"/>
  <c r="L99" i="1"/>
  <c r="M99" i="1"/>
  <c r="N99" i="1"/>
  <c r="J100" i="1"/>
  <c r="K100" i="1"/>
  <c r="L100" i="1"/>
  <c r="M100" i="1"/>
  <c r="N100" i="1"/>
  <c r="J101" i="1"/>
  <c r="K101" i="1"/>
  <c r="L101" i="1"/>
  <c r="M101" i="1"/>
  <c r="N101" i="1"/>
  <c r="J102" i="1"/>
  <c r="K102" i="1"/>
  <c r="L102" i="1"/>
  <c r="M102" i="1"/>
  <c r="N102" i="1"/>
  <c r="J103" i="1"/>
  <c r="K103" i="1"/>
  <c r="L103" i="1"/>
  <c r="M103" i="1"/>
  <c r="N103" i="1"/>
  <c r="J104" i="1"/>
  <c r="K104" i="1"/>
  <c r="L104" i="1"/>
  <c r="M104" i="1"/>
  <c r="N104" i="1"/>
  <c r="K105" i="1"/>
  <c r="L105" i="1"/>
  <c r="M105" i="1"/>
  <c r="N105" i="1"/>
  <c r="J90" i="1"/>
  <c r="J79" i="1"/>
  <c r="K79" i="1"/>
  <c r="L79" i="1"/>
  <c r="M79" i="1"/>
  <c r="N79" i="1"/>
  <c r="J80" i="1"/>
  <c r="K80" i="1"/>
  <c r="L80" i="1"/>
  <c r="M80" i="1"/>
  <c r="N80" i="1"/>
  <c r="J81" i="1"/>
  <c r="K81" i="1"/>
  <c r="L81" i="1"/>
  <c r="M81" i="1"/>
  <c r="N81" i="1"/>
  <c r="J82" i="1"/>
  <c r="K82" i="1"/>
  <c r="L82" i="1"/>
  <c r="M82" i="1"/>
  <c r="N82" i="1"/>
  <c r="J83" i="1"/>
  <c r="K83" i="1"/>
  <c r="L83" i="1"/>
  <c r="M83" i="1"/>
  <c r="N83" i="1"/>
  <c r="J84" i="1"/>
  <c r="K84" i="1"/>
  <c r="L84" i="1"/>
  <c r="M84" i="1"/>
  <c r="N84" i="1"/>
  <c r="J85" i="1"/>
  <c r="K85" i="1"/>
  <c r="L85" i="1"/>
  <c r="M85" i="1"/>
  <c r="N85" i="1"/>
  <c r="J86" i="1"/>
  <c r="K86" i="1"/>
  <c r="L86" i="1"/>
  <c r="M86" i="1"/>
  <c r="N86" i="1"/>
  <c r="J87" i="1"/>
  <c r="K87" i="1"/>
  <c r="L87" i="1"/>
  <c r="M87" i="1"/>
  <c r="N87" i="1"/>
  <c r="J88" i="1"/>
  <c r="K88" i="1"/>
  <c r="L88" i="1"/>
  <c r="M88" i="1"/>
  <c r="N88" i="1"/>
  <c r="J89" i="1"/>
  <c r="K89" i="1"/>
  <c r="L89" i="1"/>
  <c r="M89" i="1"/>
  <c r="N89" i="1"/>
  <c r="K90" i="1"/>
  <c r="L90" i="1"/>
  <c r="M90" i="1"/>
  <c r="N90" i="1"/>
  <c r="J75" i="1"/>
  <c r="J64" i="1"/>
  <c r="K64" i="1"/>
  <c r="L64" i="1"/>
  <c r="M64" i="1"/>
  <c r="N64" i="1"/>
  <c r="J65" i="1"/>
  <c r="K65" i="1"/>
  <c r="L65" i="1"/>
  <c r="M65" i="1"/>
  <c r="N65" i="1"/>
  <c r="J66" i="1"/>
  <c r="K66" i="1"/>
  <c r="L66" i="1"/>
  <c r="M66" i="1"/>
  <c r="N66" i="1"/>
  <c r="J67" i="1"/>
  <c r="K67" i="1"/>
  <c r="L67" i="1"/>
  <c r="M67" i="1"/>
  <c r="N67" i="1"/>
  <c r="J68" i="1"/>
  <c r="K68" i="1"/>
  <c r="L68" i="1"/>
  <c r="M68" i="1"/>
  <c r="N68" i="1"/>
  <c r="J69" i="1"/>
  <c r="K69" i="1"/>
  <c r="L69" i="1"/>
  <c r="M69" i="1"/>
  <c r="N69" i="1"/>
  <c r="J70" i="1"/>
  <c r="K70" i="1"/>
  <c r="L70" i="1"/>
  <c r="M70" i="1"/>
  <c r="N70" i="1"/>
  <c r="J71" i="1"/>
  <c r="K71" i="1"/>
  <c r="L71" i="1"/>
  <c r="M71" i="1"/>
  <c r="N71" i="1"/>
  <c r="J72" i="1"/>
  <c r="K72" i="1"/>
  <c r="L72" i="1"/>
  <c r="M72" i="1"/>
  <c r="N72" i="1"/>
  <c r="J73" i="1"/>
  <c r="K73" i="1"/>
  <c r="L73" i="1"/>
  <c r="M73" i="1"/>
  <c r="N73" i="1"/>
  <c r="J74" i="1"/>
  <c r="K74" i="1"/>
  <c r="L74" i="1"/>
  <c r="M74" i="1"/>
  <c r="N74" i="1"/>
  <c r="K75" i="1"/>
  <c r="L75" i="1"/>
  <c r="M75" i="1"/>
  <c r="N75" i="1"/>
  <c r="J60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53" i="1"/>
  <c r="K53" i="1"/>
  <c r="L53" i="1"/>
  <c r="M53" i="1"/>
  <c r="N53" i="1"/>
  <c r="J54" i="1"/>
  <c r="K54" i="1"/>
  <c r="L54" i="1"/>
  <c r="M54" i="1"/>
  <c r="N54" i="1"/>
  <c r="J55" i="1"/>
  <c r="K55" i="1"/>
  <c r="L55" i="1"/>
  <c r="M55" i="1"/>
  <c r="N55" i="1"/>
  <c r="J56" i="1"/>
  <c r="K56" i="1"/>
  <c r="L56" i="1"/>
  <c r="M56" i="1"/>
  <c r="N56" i="1"/>
  <c r="J57" i="1"/>
  <c r="K57" i="1"/>
  <c r="L57" i="1"/>
  <c r="M57" i="1"/>
  <c r="N57" i="1"/>
  <c r="J58" i="1"/>
  <c r="K58" i="1"/>
  <c r="L58" i="1"/>
  <c r="M58" i="1"/>
  <c r="N58" i="1"/>
  <c r="J59" i="1"/>
  <c r="K59" i="1"/>
  <c r="L59" i="1"/>
  <c r="M59" i="1"/>
  <c r="N59" i="1"/>
  <c r="K60" i="1"/>
  <c r="L60" i="1"/>
  <c r="M60" i="1"/>
  <c r="N60" i="1"/>
  <c r="J45" i="1"/>
  <c r="J34" i="1"/>
  <c r="K34" i="1"/>
  <c r="L34" i="1"/>
  <c r="M34" i="1"/>
  <c r="N34" i="1"/>
  <c r="J35" i="1"/>
  <c r="K35" i="1"/>
  <c r="L35" i="1"/>
  <c r="M35" i="1"/>
  <c r="N35" i="1"/>
  <c r="J36" i="1"/>
  <c r="K36" i="1"/>
  <c r="L36" i="1"/>
  <c r="M36" i="1"/>
  <c r="N36" i="1"/>
  <c r="J37" i="1"/>
  <c r="K37" i="1"/>
  <c r="L37" i="1"/>
  <c r="M37" i="1"/>
  <c r="N37" i="1"/>
  <c r="J38" i="1"/>
  <c r="K38" i="1"/>
  <c r="L38" i="1"/>
  <c r="M38" i="1"/>
  <c r="N38" i="1"/>
  <c r="J39" i="1"/>
  <c r="K39" i="1"/>
  <c r="L39" i="1"/>
  <c r="M39" i="1"/>
  <c r="N39" i="1"/>
  <c r="J40" i="1"/>
  <c r="K40" i="1"/>
  <c r="L40" i="1"/>
  <c r="M40" i="1"/>
  <c r="N40" i="1"/>
  <c r="J41" i="1"/>
  <c r="K41" i="1"/>
  <c r="L41" i="1"/>
  <c r="M41" i="1"/>
  <c r="N41" i="1"/>
  <c r="J42" i="1"/>
  <c r="K42" i="1"/>
  <c r="L42" i="1"/>
  <c r="M42" i="1"/>
  <c r="N42" i="1"/>
  <c r="J43" i="1"/>
  <c r="K43" i="1"/>
  <c r="L43" i="1"/>
  <c r="M43" i="1"/>
  <c r="N43" i="1"/>
  <c r="J44" i="1"/>
  <c r="K44" i="1"/>
  <c r="L44" i="1"/>
  <c r="M44" i="1"/>
  <c r="N44" i="1"/>
  <c r="K45" i="1"/>
  <c r="L45" i="1"/>
  <c r="M45" i="1"/>
  <c r="N45" i="1"/>
  <c r="J30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K30" i="1"/>
  <c r="L30" i="1"/>
  <c r="M30" i="1"/>
  <c r="N30" i="1"/>
  <c r="J15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K15" i="1"/>
  <c r="L15" i="1"/>
  <c r="M15" i="1"/>
  <c r="N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02F1AA-14C0-4DA1-BD85-F0343A9B606B}" name="10xP104_ub32_1919221" type="6" refreshedVersion="7" background="1" saveData="1">
    <textPr codePage="866" sourceFile="E:\codex_без доступа\PR\10xP104_ub32_191922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00AA662D-C5B6-42BF-9CAE-CCC106BF96FC}" name="10xP104_ub32_turbo_1717481" type="6" refreshedVersion="7" background="1" saveData="1">
    <textPr codePage="866" sourceFile="E:\codex_без доступа\PR\10xP104_ub32_turbo_171748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8CFD9380-363D-492C-A313-8512DB00B0D9}" name="10xP104_ub512_205641_best baseline11" type="6" refreshedVersion="7" background="1" saveData="1">
    <textPr codePage="866" sourceFile="E:\codex_без доступа\PR\10xP104_ub512_205641_best baseline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925AE8F4-102A-4EC4-A4B4-643AB00B9CE4}" name="4xRTX 3090_ub768_2140511" type="6" refreshedVersion="7" background="1" saveData="1">
    <textPr codePage="866" sourceFile="E:\codex_без доступа\PR\4xRTX 3090_ub768_214051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5" xr16:uid="{1821170D-6034-44E7-8BC2-D4EACBB7E755}" name="4xRTX 3090_ub768_turbo_2143091" type="6" refreshedVersion="7" background="1" saveData="1">
    <textPr codePage="866" sourceFile="E:\codex_без доступа\PR\4xRTX 3090_ub768_turbo_214309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6" xr16:uid="{20C2B12D-9A91-4E9C-B616-069DE1B42CE7}" name="5xRTX 5060_ub768_145602" type="6" refreshedVersion="7" background="1" saveData="1">
    <textPr codePage="866" sourceFile="E:\codex_без доступа\PR\5xRTX 5060_ub768_145602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7" xr16:uid="{E4D3A10F-B460-4653-94DC-D62B95C7FA32}" name="5xRTX 5060_ub768_turbo_145406" type="6" refreshedVersion="7" background="1" saveData="1">
    <textPr codePage="866" sourceFile="E:\codex_без доступа\PR\5xRTX 5060_ub768_turbo_145406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8" xr16:uid="{CB3E8D30-E166-4F7D-A425-768D163F2F38}" name="8xRTX 5060_ub768_1337001" type="6" refreshedVersion="7" background="1" saveData="1">
    <textPr codePage="866" sourceFile="E:\codex_без доступа\PR\8xRTX 5060_ub768_133700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xr16:uid="{BC44C4D5-D2CA-46D0-ADE2-BB3A4D937845}" name="8xRTX 5060_ub768_turbo_1334581" type="6" refreshedVersion="7" background="1" saveData="1">
    <textPr codePage="866" sourceFile="E:\codex_без доступа\PR\8xRTX 5060_ub768_turbo_133458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<sst xmlns="http://schemas.openxmlformats.org/spreadsheetml/2006/main" count="843" uniqueCount="596">
  <si>
    <t>file</t>
  </si>
  <si>
    <t>prompt_tokens</t>
  </si>
  <si>
    <t>completion_tokens</t>
  </si>
  <si>
    <t>prefill_ms</t>
  </si>
  <si>
    <t>prefill_tok_s</t>
  </si>
  <si>
    <t>decode_ms</t>
  </si>
  <si>
    <t>decode_tok_s</t>
  </si>
  <si>
    <t>wall_ms</t>
  </si>
  <si>
    <t>1525.186</t>
  </si>
  <si>
    <t>1825.3511375006067</t>
  </si>
  <si>
    <t>1321.91</t>
  </si>
  <si>
    <t>96.82958749082766</t>
  </si>
  <si>
    <t>2874.359130859375</t>
  </si>
  <si>
    <t>237.375</t>
  </si>
  <si>
    <t>1074.2496050552922</t>
  </si>
  <si>
    <t>1274.052</t>
  </si>
  <si>
    <t>100.46685692577698</t>
  </si>
  <si>
    <t>1521.2249755859375</t>
  </si>
  <si>
    <t>310.777</t>
  </si>
  <si>
    <t>1621.741634676955</t>
  </si>
  <si>
    <t>1281.069</t>
  </si>
  <si>
    <t>99.91655406539383</t>
  </si>
  <si>
    <t>1628.0834674835205</t>
  </si>
  <si>
    <t>573.101</t>
  </si>
  <si>
    <t>1774.556317298347</t>
  </si>
  <si>
    <t>1294.806</t>
  </si>
  <si>
    <t>98.85650823366589</t>
  </si>
  <si>
    <t>1925.2660274505615</t>
  </si>
  <si>
    <t>999.748</t>
  </si>
  <si>
    <t>2044.5152178348942</t>
  </si>
  <si>
    <t>1308.711</t>
  </si>
  <si>
    <t>97.80616194102441</t>
  </si>
  <si>
    <t>2500.234603881836</t>
  </si>
  <si>
    <t>1969.144</t>
  </si>
  <si>
    <t>2069.934956509021</t>
  </si>
  <si>
    <t>1339.503</t>
  </si>
  <si>
    <t>95.55783003098911</t>
  </si>
  <si>
    <t>3450.479745864868</t>
  </si>
  <si>
    <t>2863.544</t>
  </si>
  <si>
    <t>2144.8945781870298</t>
  </si>
  <si>
    <t>1372.936</t>
  </si>
  <si>
    <t>93.23085708292302</t>
  </si>
  <si>
    <t>4436.780214309692</t>
  </si>
  <si>
    <t>3886.063</t>
  </si>
  <si>
    <t>2100.8408767433775</t>
  </si>
  <si>
    <t>1373.984</t>
  </si>
  <si>
    <t>93.15974567389432</t>
  </si>
  <si>
    <t>5518.650531768799</t>
  </si>
  <si>
    <t>5952.267</t>
  </si>
  <si>
    <t>2063.0794955938636</t>
  </si>
  <si>
    <t>1417.618</t>
  </si>
  <si>
    <t>90.29230723650518</t>
  </si>
  <si>
    <t>7702.379941940308</t>
  </si>
  <si>
    <t>8214.101</t>
  </si>
  <si>
    <t>1993.279605400518</t>
  </si>
  <si>
    <t>1465.485</t>
  </si>
  <si>
    <t>87.34309801874466</t>
  </si>
  <si>
    <t>10084.009170532227</t>
  </si>
  <si>
    <t>13010.908</t>
  </si>
  <si>
    <t>1887.646888287889</t>
  </si>
  <si>
    <t>1558.233</t>
  </si>
  <si>
    <t>82.14432629780013</t>
  </si>
  <si>
    <t>15122.287034988403</t>
  </si>
  <si>
    <t>18059.931</t>
  </si>
  <si>
    <t>1814.0157899828077</t>
  </si>
  <si>
    <t>1651.632</t>
  </si>
  <si>
    <t>77.49910391661096</t>
  </si>
  <si>
    <t>20372.24531173706</t>
  </si>
  <si>
    <t xml:space="preserve"> </t>
  </si>
  <si>
    <t>5xRTX 5060_ub768_145602</t>
  </si>
  <si>
    <t>1372.327</t>
  </si>
  <si>
    <t>2028.6710091690975</t>
  </si>
  <si>
    <t>1321.389</t>
  </si>
  <si>
    <t>96.86776566173928</t>
  </si>
  <si>
    <t>2720.3564643859863</t>
  </si>
  <si>
    <t>236.97</t>
  </si>
  <si>
    <t>1076.085580453222</t>
  </si>
  <si>
    <t>1274.297</t>
  </si>
  <si>
    <t>100.44754087940252</t>
  </si>
  <si>
    <t>1522.761344909668</t>
  </si>
  <si>
    <t>310.869</t>
  </si>
  <si>
    <t>1621.2616890072666</t>
  </si>
  <si>
    <t>1281.63</t>
  </si>
  <si>
    <t>99.87281820806317</t>
  </si>
  <si>
    <t>1633.13889503479</t>
  </si>
  <si>
    <t>572.079</t>
  </si>
  <si>
    <t>1777.7265028081788</t>
  </si>
  <si>
    <t>1294.883</t>
  </si>
  <si>
    <t>98.85062974801585</t>
  </si>
  <si>
    <t>1932.058334350586</t>
  </si>
  <si>
    <t>998.275</t>
  </si>
  <si>
    <t>2047.531992687386</t>
  </si>
  <si>
    <t>1308.729</t>
  </si>
  <si>
    <t>97.80481673440414</t>
  </si>
  <si>
    <t>2478.7819385528564</t>
  </si>
  <si>
    <t>1336.629</t>
  </si>
  <si>
    <t>3049.462491087654</t>
  </si>
  <si>
    <t>1339.356</t>
  </si>
  <si>
    <t>95.56831790800952</t>
  </si>
  <si>
    <t>2815.664052963257</t>
  </si>
  <si>
    <t>1797.827</t>
  </si>
  <si>
    <t>3416.3465116498974</t>
  </si>
  <si>
    <t>1372.81</t>
  </si>
  <si>
    <t>93.23941404855734</t>
  </si>
  <si>
    <t>3371.644973754883</t>
  </si>
  <si>
    <t>2142.825</t>
  </si>
  <si>
    <t>3809.9238155239</t>
  </si>
  <si>
    <t>1374.029</t>
  </si>
  <si>
    <t>93.15669465491631</t>
  </si>
  <si>
    <t>3773.261308670044</t>
  </si>
  <si>
    <t>3149.451</t>
  </si>
  <si>
    <t>3899.0922544913387</t>
  </si>
  <si>
    <t>1406.674</t>
  </si>
  <si>
    <t>90.28388951526793</t>
  </si>
  <si>
    <t>4861.557960510254</t>
  </si>
  <si>
    <t>4212.816</t>
  </si>
  <si>
    <t>3886.474035419539</t>
  </si>
  <si>
    <t>1465.279</t>
  </si>
  <si>
    <t>87.35537737181792</t>
  </si>
  <si>
    <t>6075.6518840789795</t>
  </si>
  <si>
    <t>7340.927</t>
  </si>
  <si>
    <t>3345.626512836867</t>
  </si>
  <si>
    <t>1558.402</t>
  </si>
  <si>
    <t>82.13541820403208</t>
  </si>
  <si>
    <t>9453.96637916565</t>
  </si>
  <si>
    <t>10534.788</t>
  </si>
  <si>
    <t>3109.7920527684087</t>
  </si>
  <si>
    <t>1652.183</t>
  </si>
  <si>
    <t>77.47325810760672</t>
  </si>
  <si>
    <t>12826.369047164917</t>
  </si>
  <si>
    <t>5xRTX 5060_ub768_turbo_145406</t>
  </si>
  <si>
    <t>1569.717</t>
  </si>
  <si>
    <t>1773.5681017661143</t>
  </si>
  <si>
    <t>1342.312</t>
  </si>
  <si>
    <t>95.3578601696178</t>
  </si>
  <si>
    <t>2938.6496543884277</t>
  </si>
  <si>
    <t>245.576</t>
  </si>
  <si>
    <t>1038.3750855132425</t>
  </si>
  <si>
    <t>1296.859</t>
  </si>
  <si>
    <t>98.70001287726731</t>
  </si>
  <si>
    <t>1692.847490310669</t>
  </si>
  <si>
    <t>313.198</t>
  </si>
  <si>
    <t>1609.205678197179</t>
  </si>
  <si>
    <t>1300.497</t>
  </si>
  <si>
    <t>98.42391024354535</t>
  </si>
  <si>
    <t>1654.5281410217285</t>
  </si>
  <si>
    <t>577.324</t>
  </si>
  <si>
    <t>1761.5758222419302</t>
  </si>
  <si>
    <t>1313.539</t>
  </si>
  <si>
    <t>97.44666888459345</t>
  </si>
  <si>
    <t>1957.9436779022217</t>
  </si>
  <si>
    <t>1011.428</t>
  </si>
  <si>
    <t>2020.9050965565516</t>
  </si>
  <si>
    <t>1327.903</t>
  </si>
  <si>
    <t>96.39258289197328</t>
  </si>
  <si>
    <t>2454.425573348999</t>
  </si>
  <si>
    <t>1991.709</t>
  </si>
  <si>
    <t>2046.483698170767</t>
  </si>
  <si>
    <t>1358.074</t>
  </si>
  <si>
    <t>94.25112328194191</t>
  </si>
  <si>
    <t>3534.3897342681885</t>
  </si>
  <si>
    <t>2894.121</t>
  </si>
  <si>
    <t>2122.233313672787</t>
  </si>
  <si>
    <t>1392.127</t>
  </si>
  <si>
    <t>91.94563427043654</t>
  </si>
  <si>
    <t>4492.279529571533</t>
  </si>
  <si>
    <t>3932.428</t>
  </si>
  <si>
    <t>2076.071068561205</t>
  </si>
  <si>
    <t>1394.277</t>
  </si>
  <si>
    <t>91.80385246260248</t>
  </si>
  <si>
    <t>5633.047819137573</t>
  </si>
  <si>
    <t>6035.21</t>
  </si>
  <si>
    <t>2034.7262149950043</t>
  </si>
  <si>
    <t>1437.221</t>
  </si>
  <si>
    <t>89.06076379345974</t>
  </si>
  <si>
    <t>7842.283487319946</t>
  </si>
  <si>
    <t>8340.135</t>
  </si>
  <si>
    <t>1963.157670709167</t>
  </si>
  <si>
    <t>1485.054</t>
  </si>
  <si>
    <t>86.19215193521582</t>
  </si>
  <si>
    <t>10309.569597244263</t>
  </si>
  <si>
    <t>13254.335</t>
  </si>
  <si>
    <t>1852.9786669795205</t>
  </si>
  <si>
    <t>1579.421</t>
  </si>
  <si>
    <t>81.04235666108023</t>
  </si>
  <si>
    <t>15439.237833023071</t>
  </si>
  <si>
    <t>18447.071</t>
  </si>
  <si>
    <t>1775.9458940663264</t>
  </si>
  <si>
    <t>1673.007</t>
  </si>
  <si>
    <t>76.50894467267621</t>
  </si>
  <si>
    <t>20960.627794265747</t>
  </si>
  <si>
    <t>8xRTX 5060_ub768_133700</t>
  </si>
  <si>
    <t>1435.851</t>
  </si>
  <si>
    <t>1938.9198461400242</t>
  </si>
  <si>
    <t>1342.526</t>
  </si>
  <si>
    <t>95.34266003042026</t>
  </si>
  <si>
    <t>2805.676221847534</t>
  </si>
  <si>
    <t>244.589</t>
  </si>
  <si>
    <t>1042.5652829849257</t>
  </si>
  <si>
    <t>1297.607</t>
  </si>
  <si>
    <t>98.64311767738614</t>
  </si>
  <si>
    <t>1687.6771450042725</t>
  </si>
  <si>
    <t>312.439</t>
  </si>
  <si>
    <t>1613.1148800245808</t>
  </si>
  <si>
    <t>1300.725</t>
  </si>
  <si>
    <t>98.4066578254435</t>
  </si>
  <si>
    <t>1650.1283645629883</t>
  </si>
  <si>
    <t>576.32</t>
  </si>
  <si>
    <t>1764.64464186563</t>
  </si>
  <si>
    <t>1313.776</t>
  </si>
  <si>
    <t>97.42908989051405</t>
  </si>
  <si>
    <t>1956.8891525268555</t>
  </si>
  <si>
    <t>1010.785</t>
  </si>
  <si>
    <t>2022.1906735853818</t>
  </si>
  <si>
    <t>1328.434</t>
  </si>
  <si>
    <t>96.35405296762956</t>
  </si>
  <si>
    <t>2453.352689743042</t>
  </si>
  <si>
    <t>1281.851</t>
  </si>
  <si>
    <t>3179.7767447230603</t>
  </si>
  <si>
    <t>1358.554</t>
  </si>
  <si>
    <t>94.21782277333105</t>
  </si>
  <si>
    <t>2819.791078567505</t>
  </si>
  <si>
    <t>1674.454</t>
  </si>
  <si>
    <t>3668.0613501475705</t>
  </si>
  <si>
    <t>1392.105</t>
  </si>
  <si>
    <t>91.94708732459118</t>
  </si>
  <si>
    <t>3285.111665725708</t>
  </si>
  <si>
    <t>1985.702</t>
  </si>
  <si>
    <t>4111.3923438663005</t>
  </si>
  <si>
    <t>1099.157</t>
  </si>
  <si>
    <t>91.88860190127525</t>
  </si>
  <si>
    <t>3382.6160430908203</t>
  </si>
  <si>
    <t>2777.579</t>
  </si>
  <si>
    <t>4421.116375087801</t>
  </si>
  <si>
    <t>1437.542</t>
  </si>
  <si>
    <t>89.04087671873239</t>
  </si>
  <si>
    <t>4583.123445510864</t>
  </si>
  <si>
    <t>3737.892</t>
  </si>
  <si>
    <t>4380.276369675743</t>
  </si>
  <si>
    <t>1484.073</t>
  </si>
  <si>
    <t>86.24912655913826</t>
  </si>
  <si>
    <t>5674.71718788147</t>
  </si>
  <si>
    <t>6666.492</t>
  </si>
  <si>
    <t>3684.096523328911</t>
  </si>
  <si>
    <t>1579.237</t>
  </si>
  <si>
    <t>81.05179906499151</t>
  </si>
  <si>
    <t>8857.227325439453</t>
  </si>
  <si>
    <t>9751.77</t>
  </si>
  <si>
    <t>3359.492686968622</t>
  </si>
  <si>
    <t>1030.278</t>
  </si>
  <si>
    <t>76.67833342068839</t>
  </si>
  <si>
    <t>11608.091354370117</t>
  </si>
  <si>
    <t>8xRTX 5060_ub768_turbo_133458</t>
  </si>
  <si>
    <t>1928.023</t>
  </si>
  <si>
    <t>1443.966176752041</t>
  </si>
  <si>
    <t>1348.558</t>
  </si>
  <si>
    <t>94.91619937740906</t>
  </si>
  <si>
    <t>3304.391622543335</t>
  </si>
  <si>
    <t>370.379</t>
  </si>
  <si>
    <t>688.4839583237709</t>
  </si>
  <si>
    <t>1312.343</t>
  </si>
  <si>
    <t>97.53547662463242</t>
  </si>
  <si>
    <t>1839.848279953003</t>
  </si>
  <si>
    <t>457.896</t>
  </si>
  <si>
    <t>1100.6866187955345</t>
  </si>
  <si>
    <t>1309.561</t>
  </si>
  <si>
    <t>97.74267865338079</t>
  </si>
  <si>
    <t>1806.1811923980713</t>
  </si>
  <si>
    <t>797.493</t>
  </si>
  <si>
    <t>1275.246303102347</t>
  </si>
  <si>
    <t>1325.595</t>
  </si>
  <si>
    <t>96.56041249401213</t>
  </si>
  <si>
    <t>2185.333490371704</t>
  </si>
  <si>
    <t>1375.879</t>
  </si>
  <si>
    <t>1485.5957536963645</t>
  </si>
  <si>
    <t>1334.31</t>
  </si>
  <si>
    <t>95.92973147169698</t>
  </si>
  <si>
    <t>2861.524820327759</t>
  </si>
  <si>
    <t>2674.22</t>
  </si>
  <si>
    <t>1524.1827523539575</t>
  </si>
  <si>
    <t>1352.136</t>
  </si>
  <si>
    <t>94.66503369483543</t>
  </si>
  <si>
    <t>4218.207597732544</t>
  </si>
  <si>
    <t>3879.99</t>
  </si>
  <si>
    <t>1582.9937706025014</t>
  </si>
  <si>
    <t>1377.389</t>
  </si>
  <si>
    <t>92.92944839838275</t>
  </si>
  <si>
    <t>5511.040687561035</t>
  </si>
  <si>
    <t>5288.938</t>
  </si>
  <si>
    <t>1543.599111957826</t>
  </si>
  <si>
    <t>1399.764</t>
  </si>
  <si>
    <t>91.44398627197157</t>
  </si>
  <si>
    <t>7005.212306976318</t>
  </si>
  <si>
    <t>8068.112</t>
  </si>
  <si>
    <t>1522.0413400309762</t>
  </si>
  <si>
    <t>1441.927</t>
  </si>
  <si>
    <t>88.7700972379323</t>
  </si>
  <si>
    <t>9903.909683227539</t>
  </si>
  <si>
    <t>11085.572</t>
  </si>
  <si>
    <t>1476.9648332084262</t>
  </si>
  <si>
    <t>1485.2</t>
  </si>
  <si>
    <t>86.18367896579585</t>
  </si>
  <si>
    <t>13081.35437965393</t>
  </si>
  <si>
    <t>17405.086</t>
  </si>
  <si>
    <t>1411.081795286734</t>
  </si>
  <si>
    <t>1574.493</t>
  </si>
  <si>
    <t>81.29601084285545</t>
  </si>
  <si>
    <t>19653.759479522705</t>
  </si>
  <si>
    <t>23987.999</t>
  </si>
  <si>
    <t>1365.72458586479</t>
  </si>
  <si>
    <t>1656.841</t>
  </si>
  <si>
    <t>77.25545179048564</t>
  </si>
  <si>
    <t>26549.992084503174</t>
  </si>
  <si>
    <t>4xRTX 3090_ub768_214051</t>
  </si>
  <si>
    <t>1721.237</t>
  </si>
  <si>
    <t>1617.441409869762</t>
  </si>
  <si>
    <t>1347.094</t>
  </si>
  <si>
    <t>95.0193527697399</t>
  </si>
  <si>
    <t>3094.5358276367188</t>
  </si>
  <si>
    <t>370.091</t>
  </si>
  <si>
    <t>689.019727580514</t>
  </si>
  <si>
    <t>1308.012</t>
  </si>
  <si>
    <t>97.85842943336911</t>
  </si>
  <si>
    <t>1835.5484008789062</t>
  </si>
  <si>
    <t>456.508</t>
  </si>
  <si>
    <t>1104.033226142806</t>
  </si>
  <si>
    <t>1313.919</t>
  </si>
  <si>
    <t>97.41848622327555</t>
  </si>
  <si>
    <t>1809.1933727264404</t>
  </si>
  <si>
    <t>798.805</t>
  </si>
  <si>
    <t>1273.1517704571204</t>
  </si>
  <si>
    <t>1326.151</t>
  </si>
  <si>
    <t>96.51992872606513</t>
  </si>
  <si>
    <t>2191.5485858917236</t>
  </si>
  <si>
    <t>1382.513</t>
  </si>
  <si>
    <t>1478.4671102550212</t>
  </si>
  <si>
    <t>1331.845</t>
  </si>
  <si>
    <t>96.10727975102208</t>
  </si>
  <si>
    <t>2872.2612857818604</t>
  </si>
  <si>
    <t>1878.74</t>
  </si>
  <si>
    <t>2169.539159223735</t>
  </si>
  <si>
    <t>1358.085</t>
  </si>
  <si>
    <t>94.25035988174525</t>
  </si>
  <si>
    <t>3429.33988571167</t>
  </si>
  <si>
    <t>2501.863</t>
  </si>
  <si>
    <t>2454.9705559417125</t>
  </si>
  <si>
    <t>1376.051</t>
  </si>
  <si>
    <t>93.0198081321114</t>
  </si>
  <si>
    <t>4095.641613006592</t>
  </si>
  <si>
    <t>3082.901</t>
  </si>
  <si>
    <t>2648.1550980715892</t>
  </si>
  <si>
    <t>1398.083</t>
  </si>
  <si>
    <t>91.55393492374915</t>
  </si>
  <si>
    <t>4788.155555725098</t>
  </si>
  <si>
    <t>4446.837</t>
  </si>
  <si>
    <t>2761.5134082944796</t>
  </si>
  <si>
    <t>921.528</t>
  </si>
  <si>
    <t>88.98264621367989</t>
  </si>
  <si>
    <t>5720.726728439331</t>
  </si>
  <si>
    <t>5935.679</t>
  </si>
  <si>
    <t>2758.403882689748</t>
  </si>
  <si>
    <t>1485.456</t>
  </si>
  <si>
    <t>86.16882627287514</t>
  </si>
  <si>
    <t>7916.921138763428</t>
  </si>
  <si>
    <t>10176.379</t>
  </si>
  <si>
    <t>2413.432125513407</t>
  </si>
  <si>
    <t>1571.675</t>
  </si>
  <si>
    <t>81.44177390363784</t>
  </si>
  <si>
    <t>12394.937515258789</t>
  </si>
  <si>
    <t>14028.09</t>
  </si>
  <si>
    <t>2335.3856440898226</t>
  </si>
  <si>
    <t>1658.973</t>
  </si>
  <si>
    <t>77.1561683041255</t>
  </si>
  <si>
    <t>16605.611562728882</t>
  </si>
  <si>
    <t>4xRTX 3090_ub768_turbo_214309</t>
  </si>
  <si>
    <t>3546.524</t>
  </si>
  <si>
    <t>71.90138851450041</t>
  </si>
  <si>
    <t>4537.08</t>
  </si>
  <si>
    <t>28.211977747802553</t>
  </si>
  <si>
    <t>8535.200357437134</t>
  </si>
  <si>
    <t>5786.581</t>
  </si>
  <si>
    <t>87.09806360612596</t>
  </si>
  <si>
    <t>4584.458</t>
  </si>
  <si>
    <t>27.920421563465084</t>
  </si>
  <si>
    <t>10759.392261505127</t>
  </si>
  <si>
    <t>10984.963</t>
  </si>
  <si>
    <t>92.58110382347215</t>
  </si>
  <si>
    <t>4618.081</t>
  </si>
  <si>
    <t>27.71714051789044</t>
  </si>
  <si>
    <t>16232.96594619751</t>
  </si>
  <si>
    <t>22628.331</t>
  </si>
  <si>
    <t>90.32924257648521</t>
  </si>
  <si>
    <t>4666.713</t>
  </si>
  <si>
    <t>27.428299104744603</t>
  </si>
  <si>
    <t>27956.08377456665</t>
  </si>
  <si>
    <t>45610.072</t>
  </si>
  <si>
    <t>89.36622595114518</t>
  </si>
  <si>
    <t>4755.024</t>
  </si>
  <si>
    <t>26.918896729017558</t>
  </si>
  <si>
    <t>51288.16866874695</t>
  </si>
  <si>
    <t>71609.996</t>
  </si>
  <si>
    <t>85.77014862561926</t>
  </si>
  <si>
    <t>4856.597</t>
  </si>
  <si>
    <t>26.35590311487653</t>
  </si>
  <si>
    <t>77626.21760368347</t>
  </si>
  <si>
    <t>96078.561</t>
  </si>
  <si>
    <t>84.97213025494834</t>
  </si>
  <si>
    <t>4951.647</t>
  </si>
  <si>
    <t>25.849984863622144</t>
  </si>
  <si>
    <t>102584.22303199768</t>
  </si>
  <si>
    <t>154191.153</t>
  </si>
  <si>
    <t>79.6414045882386</t>
  </si>
  <si>
    <t>5156.228</t>
  </si>
  <si>
    <t>24.824348341462013</t>
  </si>
  <si>
    <t>161261.88921928406</t>
  </si>
  <si>
    <t>213419.014</t>
  </si>
  <si>
    <t>76.71762554389835</t>
  </si>
  <si>
    <t>5343.615</t>
  </si>
  <si>
    <t>23.953821523444336</t>
  </si>
  <si>
    <t>221515.81239700317</t>
  </si>
  <si>
    <t>346628.266</t>
  </si>
  <si>
    <t>70.85400242575716</t>
  </si>
  <si>
    <t>5692.911</t>
  </si>
  <si>
    <t>22.484103475357333</t>
  </si>
  <si>
    <t>355912.9796028137</t>
  </si>
  <si>
    <t>480363.317</t>
  </si>
  <si>
    <t>68.20046169345609</t>
  </si>
  <si>
    <t>6021.621</t>
  </si>
  <si>
    <t>21.256734689878357</t>
  </si>
  <si>
    <t>491483.0553531647</t>
  </si>
  <si>
    <t>1159884.702</t>
  </si>
  <si>
    <t>55.54258961163538</t>
  </si>
  <si>
    <t>3484.977</t>
  </si>
  <si>
    <t>17.790648259658532</t>
  </si>
  <si>
    <t>1170287.0919704437</t>
  </si>
  <si>
    <t>10xP104_ub32_191922</t>
  </si>
  <si>
    <t>2044.907</t>
  </si>
  <si>
    <t>124.700047483822</t>
  </si>
  <si>
    <t>4446.754</t>
  </si>
  <si>
    <t>28.78504185300109</t>
  </si>
  <si>
    <t>6914.372682571411</t>
  </si>
  <si>
    <t>1941.867</t>
  </si>
  <si>
    <t>259.5440367440201</t>
  </si>
  <si>
    <t>4265.518</t>
  </si>
  <si>
    <t>30.008078737447597</t>
  </si>
  <si>
    <t>6571.42186164856</t>
  </si>
  <si>
    <t>2506.624</t>
  </si>
  <si>
    <t>405.7249910636777</t>
  </si>
  <si>
    <t>4293.193</t>
  </si>
  <si>
    <t>29.814639127567755</t>
  </si>
  <si>
    <t>7312.2687339782715</t>
  </si>
  <si>
    <t>4550.165</t>
  </si>
  <si>
    <t>449.2144790353757</t>
  </si>
  <si>
    <t>4372.573</t>
  </si>
  <si>
    <t>29.273382056743248</t>
  </si>
  <si>
    <t>9602.575302124023</t>
  </si>
  <si>
    <t>9311.864</t>
  </si>
  <si>
    <t>437.7211694672517</t>
  </si>
  <si>
    <t>4495.048</t>
  </si>
  <si>
    <t>28.47578045885161</t>
  </si>
  <si>
    <t>14641.47138595581</t>
  </si>
  <si>
    <t>14072.196</t>
  </si>
  <si>
    <t>436.46350576697483</t>
  </si>
  <si>
    <t>4774.472</t>
  </si>
  <si>
    <t>26.80924717958342</t>
  </si>
  <si>
    <t>19961.986303329468</t>
  </si>
  <si>
    <t>19586.751</t>
  </si>
  <si>
    <t>416.812364643835</t>
  </si>
  <si>
    <t>4844.695</t>
  </si>
  <si>
    <t>26.420651867661434</t>
  </si>
  <si>
    <t>25957.717180252075</t>
  </si>
  <si>
    <t>33214.76</t>
  </si>
  <si>
    <t>369.71515073419164</t>
  </si>
  <si>
    <t>5047.168</t>
  </si>
  <si>
    <t>25.36075676498187</t>
  </si>
  <si>
    <t>40174.32999610901</t>
  </si>
  <si>
    <t>47458.414</t>
  </si>
  <si>
    <t>344.9967797069662</t>
  </si>
  <si>
    <t>5256.262</t>
  </si>
  <si>
    <t>24.351906354744113</t>
  </si>
  <si>
    <t>55394.5529460907</t>
  </si>
  <si>
    <t>84875.122</t>
  </si>
  <si>
    <t>289.3662998210477</t>
  </si>
  <si>
    <t>5594.382</t>
  </si>
  <si>
    <t>22.880096496806978</t>
  </si>
  <si>
    <t>94131.26993179321</t>
  </si>
  <si>
    <t>125105.141</t>
  </si>
  <si>
    <t>261.8677357151933</t>
  </si>
  <si>
    <t>6032.565</t>
  </si>
  <si>
    <t>21.218171706396866</t>
  </si>
  <si>
    <t>136205.7523727417</t>
  </si>
  <si>
    <t>428164.06</t>
  </si>
  <si>
    <t>150.46335276249016</t>
  </si>
  <si>
    <t>7507.452</t>
  </si>
  <si>
    <t>17.04972605885459</t>
  </si>
  <si>
    <t>442568.51172447205</t>
  </si>
  <si>
    <t>10xP104_ub32_turbo_171748</t>
  </si>
  <si>
    <t>2239.945</t>
  </si>
  <si>
    <t>113.84208094395174</t>
  </si>
  <si>
    <t>4437.883</t>
  </si>
  <si>
    <t>28.842581023429414</t>
  </si>
  <si>
    <t>7135.605335235596</t>
  </si>
  <si>
    <t>2389.708</t>
  </si>
  <si>
    <t>210.9044284908449</t>
  </si>
  <si>
    <t>4266.41</t>
  </si>
  <si>
    <t>30.001804796069763</t>
  </si>
  <si>
    <t>7088.090419769287</t>
  </si>
  <si>
    <t>4372.579</t>
  </si>
  <si>
    <t>232.5858492207917</t>
  </si>
  <si>
    <t>4267.589</t>
  </si>
  <si>
    <t>29.993516245355398</t>
  </si>
  <si>
    <t>9296.266078948975</t>
  </si>
  <si>
    <t>8477.031</t>
  </si>
  <si>
    <t>241.1221570382366</t>
  </si>
  <si>
    <t>4359.909</t>
  </si>
  <si>
    <t>29.358410920961884</t>
  </si>
  <si>
    <t>13597.677230834961</t>
  </si>
  <si>
    <t>17275.548</t>
  </si>
  <si>
    <t>235.94041705652407</t>
  </si>
  <si>
    <t>4601.441</t>
  </si>
  <si>
    <t>27.817372862109934</t>
  </si>
  <si>
    <t>22843.188524246216</t>
  </si>
  <si>
    <t>27119.481</t>
  </si>
  <si>
    <t>226.4792604253747</t>
  </si>
  <si>
    <t>4530.057</t>
  </si>
  <si>
    <t>28.25571510468853</t>
  </si>
  <si>
    <t>32909.1215133667</t>
  </si>
  <si>
    <t>37634.154</t>
  </si>
  <si>
    <t>216.93061042371244</t>
  </si>
  <si>
    <t>4813.25</t>
  </si>
  <si>
    <t>26.593258193528282</t>
  </si>
  <si>
    <t>44078.50217819214</t>
  </si>
  <si>
    <t>62486.044</t>
  </si>
  <si>
    <t>196.5238829969777</t>
  </si>
  <si>
    <t>4769.218</t>
  </si>
  <si>
    <t>26.8387815360925</t>
  </si>
  <si>
    <t>69302.35075950623</t>
  </si>
  <si>
    <t>90569.995</t>
  </si>
  <si>
    <t>180.77730930646513</t>
  </si>
  <si>
    <t>4963.28</t>
  </si>
  <si>
    <t>25.789397334021054</t>
  </si>
  <si>
    <t>98344.70009803772</t>
  </si>
  <si>
    <t>158368.508</t>
  </si>
  <si>
    <t>155.0813372567733</t>
  </si>
  <si>
    <t>5310.435</t>
  </si>
  <si>
    <t>24.103486814168704</t>
  </si>
  <si>
    <t>167479.22921180725</t>
  </si>
  <si>
    <t>239926.458</t>
  </si>
  <si>
    <t>136.54600777709976</t>
  </si>
  <si>
    <t>5793.525</t>
  </si>
  <si>
    <t>22.093630389098177</t>
  </si>
  <si>
    <t>250947.4196434021</t>
  </si>
  <si>
    <t>701186.721</t>
  </si>
  <si>
    <t>91.87709645744988</t>
  </si>
  <si>
    <t>7105.714</t>
  </si>
  <si>
    <t>18.013671813979567</t>
  </si>
  <si>
    <t>715334.4793319702</t>
  </si>
  <si>
    <t>10xP104_ub512_205641_best baseline</t>
  </si>
  <si>
    <t>Baseline (5 GPUs)</t>
  </si>
  <si>
    <t>Intra-Prompt Pipeline Scheduling (5 GPUs)</t>
  </si>
  <si>
    <t>Baseline (8 GPUs)</t>
  </si>
  <si>
    <t>Intra-Prompt Pipeline Scheduling (8 GPUs)</t>
  </si>
  <si>
    <t>Intra-Prompt Pipeline Scheduling (4 GPUs)</t>
  </si>
  <si>
    <t>Baseline (10 GPUs)</t>
  </si>
  <si>
    <t>Intra-Prompt Pipeline Scheduling (10 GPUs)</t>
  </si>
  <si>
    <t>best ub baseline (10 GPUs)</t>
  </si>
  <si>
    <t>best ub baseline (10 GPUs P-104)</t>
  </si>
  <si>
    <t>Intra-Prompt Pipeline Scheduling (10 GPUs P-104)</t>
  </si>
  <si>
    <t>Baseline (10 GPUs P104)</t>
  </si>
  <si>
    <t>Intra-Prompt Pipeline Scheduling (4 GPUs RTX3090)</t>
  </si>
  <si>
    <t>Baseline (4 GPUs RTX3090)</t>
  </si>
  <si>
    <t>Intra-Prompt Pipeline Scheduling (8 GPUs RTX5060)</t>
  </si>
  <si>
    <t>Baseline (8 GPUs RTX5060)</t>
  </si>
  <si>
    <t>Intra-Prompt Pipeline Scheduling (5 GPUs RTX5060)</t>
  </si>
  <si>
    <t>Baseline (5 GPUs RTX5060)</t>
  </si>
  <si>
    <t>prefill,  tok/s</t>
  </si>
  <si>
    <t>decode, tok/s</t>
  </si>
  <si>
    <t>decode, ms</t>
  </si>
  <si>
    <t>wall, ms</t>
  </si>
  <si>
    <t>prefill, ms</t>
  </si>
  <si>
    <t>Baseline vs Intra-Prompt Pipeline Scheduling</t>
  </si>
  <si>
    <t>Multi-GPU Scaling with and without Intra-Prompt Pipeline Scheduling</t>
  </si>
  <si>
    <t>prompt, tokens</t>
  </si>
  <si>
    <t>Prefill Throughput: Baseline vs Intra-Prompt Pipeline Scheduling 4×RTX 3090</t>
  </si>
  <si>
    <t>Baseline</t>
  </si>
  <si>
    <t>Intra-Prompt Pipeline Scheduling</t>
  </si>
  <si>
    <t>Baseline (UB=32)</t>
  </si>
  <si>
    <t>Model: GPT-OSS-120B Q4_K_M | 5× and 8× NVIDIA RTX 5060 Ti 16GB | UB=768</t>
  </si>
  <si>
    <t>Model: GPT-OSS-120B Q4_K_M | 4× NVIDIA RTX 3090 | UB=768</t>
  </si>
  <si>
    <t>Baseline (UB=512)</t>
  </si>
  <si>
    <t>Intra-Prompt Pipeline Scheduling (UB=32)</t>
  </si>
  <si>
    <t>Model: GPT-OSS-120B Q4_K_M | 10× NVIDIA P104-100 (Pascal) | Baseline UB=32, Baseline UB=512, IPPS UB=32</t>
  </si>
  <si>
    <t>ipps_prefill_p104_pascal_ub32_vs_ub512.png</t>
  </si>
  <si>
    <t>ipps_prefill_4gpu_rtx3090.png</t>
  </si>
  <si>
    <t>ipps_prefill_scaling_5gpu_8gpu_rtx5060ti.png</t>
  </si>
  <si>
    <t>Prefill Throughput on 10× NVIDIA P104-100 (Pascal)
  Baseline vs Intra-Prompt Pipeline Scheduling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</si>
</sst>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Лист1!$O$3</c:f>
          <c:strCache>
            <c:ptCount val="1"/>
            <c:pt idx="0">
              <c:v>Multi-GPU Scaling with and without Intra-Prompt Pipeline Scheduling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Лист1!$O$2</c:f>
              <c:strCache>
                <c:ptCount val="1"/>
                <c:pt idx="0">
                  <c:v>Baseline (5 GPUs)</c:v>
                </c:pt>
              </c:strCache>
            </c:strRef>
          </c:tx>
          <c:spPr>
            <a:ln w="19050" cap="rnd">
              <a:solidFill>
                <a:srgbClr val="0070C0">
                  <a:alpha val="89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Лист1!$B$5:$B$15</c:f>
              <c:numCache>
                <c:formatCode>General</c:formatCode>
                <c:ptCount val="11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</c:numCache>
            </c:numRef>
          </c:xVal>
          <c:yVal>
            <c:numRef>
              <c:f>Лист1!$K$5:$K$15</c:f>
              <c:numCache>
                <c:formatCode>0</c:formatCode>
                <c:ptCount val="11"/>
                <c:pt idx="0">
                  <c:v>1074.24960505529</c:v>
                </c:pt>
                <c:pt idx="1">
                  <c:v>1621.7416346769501</c:v>
                </c:pt>
                <c:pt idx="2">
                  <c:v>1774.55631729834</c:v>
                </c:pt>
                <c:pt idx="3">
                  <c:v>2044.5152178348901</c:v>
                </c:pt>
                <c:pt idx="4">
                  <c:v>2069.9349565090201</c:v>
                </c:pt>
                <c:pt idx="5">
                  <c:v>2144.8945781870202</c:v>
                </c:pt>
                <c:pt idx="6">
                  <c:v>2100.8408767433698</c:v>
                </c:pt>
                <c:pt idx="7">
                  <c:v>2063.07949559386</c:v>
                </c:pt>
                <c:pt idx="8">
                  <c:v>1993.27960540051</c:v>
                </c:pt>
                <c:pt idx="9">
                  <c:v>1887.6468882878801</c:v>
                </c:pt>
                <c:pt idx="10">
                  <c:v>1814.0157899828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3-48A7-8545-4DFDC527C04A}"/>
            </c:ext>
          </c:extLst>
        </c:ser>
        <c:ser>
          <c:idx val="2"/>
          <c:order val="1"/>
          <c:tx>
            <c:strRef>
              <c:f>Лист1!$O$32</c:f>
              <c:strCache>
                <c:ptCount val="1"/>
                <c:pt idx="0">
                  <c:v>Baseline (8 GPUs)</c:v>
                </c:pt>
              </c:strCache>
            </c:strRef>
          </c:tx>
          <c:spPr>
            <a:ln w="19050" cap="sq" cmpd="sng">
              <a:solidFill>
                <a:srgbClr val="00B050"/>
              </a:solidFill>
              <a:prstDash val="dash"/>
              <a:round/>
            </a:ln>
            <a:effectLst>
              <a:glow>
                <a:schemeClr val="accent1">
                  <a:alpha val="86000"/>
                </a:schemeClr>
              </a:glow>
              <a:softEdge rad="0"/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  <a:effectLst>
                <a:glow>
                  <a:schemeClr val="accent1">
                    <a:alpha val="86000"/>
                  </a:schemeClr>
                </a:glow>
                <a:softEdge rad="0"/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Лист1!$B$35:$B$45</c:f>
              <c:numCache>
                <c:formatCode>General</c:formatCode>
                <c:ptCount val="11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</c:numCache>
            </c:numRef>
          </c:xVal>
          <c:yVal>
            <c:numRef>
              <c:f>Лист1!$K$35:$K$45</c:f>
              <c:numCache>
                <c:formatCode>0</c:formatCode>
                <c:ptCount val="11"/>
                <c:pt idx="0">
                  <c:v>1038.37508551324</c:v>
                </c:pt>
                <c:pt idx="1">
                  <c:v>1609.2056781971701</c:v>
                </c:pt>
                <c:pt idx="2">
                  <c:v>1761.5758222419299</c:v>
                </c:pt>
                <c:pt idx="3">
                  <c:v>2020.90509655655</c:v>
                </c:pt>
                <c:pt idx="4">
                  <c:v>2046.4836981707599</c:v>
                </c:pt>
                <c:pt idx="5">
                  <c:v>2122.2333136727798</c:v>
                </c:pt>
                <c:pt idx="6">
                  <c:v>2076.0710685611998</c:v>
                </c:pt>
                <c:pt idx="7">
                  <c:v>2034.726214995</c:v>
                </c:pt>
                <c:pt idx="8">
                  <c:v>1963.1576707091599</c:v>
                </c:pt>
                <c:pt idx="9">
                  <c:v>1852.9786669795201</c:v>
                </c:pt>
                <c:pt idx="10">
                  <c:v>1775.9458940663201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233-48A7-8545-4DFDC527C04A}"/>
            </c:ext>
          </c:extLst>
        </c:ser>
        <c:ser>
          <c:idx val="1"/>
          <c:order val="2"/>
          <c:tx>
            <c:strRef>
              <c:f>Лист1!$O$17</c:f>
              <c:strCache>
                <c:ptCount val="1"/>
                <c:pt idx="0">
                  <c:v>Intra-Prompt Pipeline Scheduling (5 GPUs)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Лист1!$B$20:$B$30</c:f>
              <c:numCache>
                <c:formatCode>General</c:formatCode>
                <c:ptCount val="11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</c:numCache>
            </c:numRef>
          </c:xVal>
          <c:yVal>
            <c:numRef>
              <c:f>Лист1!$K$20:$K$30</c:f>
              <c:numCache>
                <c:formatCode>0</c:formatCode>
                <c:ptCount val="11"/>
                <c:pt idx="0">
                  <c:v>1076.08558045322</c:v>
                </c:pt>
                <c:pt idx="1">
                  <c:v>1621.26168900726</c:v>
                </c:pt>
                <c:pt idx="2">
                  <c:v>1777.7265028081699</c:v>
                </c:pt>
                <c:pt idx="3">
                  <c:v>2047.5319926873799</c:v>
                </c:pt>
                <c:pt idx="4">
                  <c:v>3049.4624910876501</c:v>
                </c:pt>
                <c:pt idx="5">
                  <c:v>3416.3465116498901</c:v>
                </c:pt>
                <c:pt idx="6">
                  <c:v>3809.9238155239</c:v>
                </c:pt>
                <c:pt idx="7">
                  <c:v>3899.0922544913301</c:v>
                </c:pt>
                <c:pt idx="8">
                  <c:v>3886.4740354195301</c:v>
                </c:pt>
                <c:pt idx="9">
                  <c:v>3345.62651283686</c:v>
                </c:pt>
                <c:pt idx="10">
                  <c:v>3109.7920527684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233-48A7-8545-4DFDC527C04A}"/>
            </c:ext>
          </c:extLst>
        </c:ser>
        <c:ser>
          <c:idx val="3"/>
          <c:order val="3"/>
          <c:tx>
            <c:strRef>
              <c:f>Лист1!$O$47</c:f>
              <c:strCache>
                <c:ptCount val="1"/>
                <c:pt idx="0">
                  <c:v>Intra-Prompt Pipeline Scheduling (8 GPUs)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Лист1!$B$50:$B$60</c:f>
              <c:numCache>
                <c:formatCode>General</c:formatCode>
                <c:ptCount val="11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</c:numCache>
            </c:numRef>
          </c:xVal>
          <c:yVal>
            <c:numRef>
              <c:f>Лист1!$K$50:$K$60</c:f>
              <c:numCache>
                <c:formatCode>0</c:formatCode>
                <c:ptCount val="11"/>
                <c:pt idx="0">
                  <c:v>1042.56528298492</c:v>
                </c:pt>
                <c:pt idx="1">
                  <c:v>1613.1148800245801</c:v>
                </c:pt>
                <c:pt idx="2">
                  <c:v>1764.6446418656301</c:v>
                </c:pt>
                <c:pt idx="3">
                  <c:v>2022.19067358538</c:v>
                </c:pt>
                <c:pt idx="4">
                  <c:v>3179.7767447230599</c:v>
                </c:pt>
                <c:pt idx="5">
                  <c:v>3668.06135014757</c:v>
                </c:pt>
                <c:pt idx="6">
                  <c:v>4111.3923438662996</c:v>
                </c:pt>
                <c:pt idx="7">
                  <c:v>4421.1163750878004</c:v>
                </c:pt>
                <c:pt idx="8">
                  <c:v>4380.2763696757402</c:v>
                </c:pt>
                <c:pt idx="9">
                  <c:v>3684.0965233289098</c:v>
                </c:pt>
                <c:pt idx="10">
                  <c:v>3359.4926869686201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233-48A7-8545-4DFDC527C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545775"/>
        <c:axId val="2046546191"/>
      </c:scatterChart>
      <c:valAx>
        <c:axId val="2046545775"/>
        <c:scaling>
          <c:orientation val="minMax"/>
          <c:max val="33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Лист1!$B$3</c:f>
              <c:strCache>
                <c:ptCount val="1"/>
                <c:pt idx="0">
                  <c:v>prompt, tokens</c:v>
                </c:pt>
              </c:strCache>
            </c:strRef>
          </c:tx>
          <c:layout>
            <c:manualLayout>
              <c:xMode val="edge"/>
              <c:yMode val="edge"/>
              <c:x val="0.87859106836996503"/>
              <c:y val="0.93210671276608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546191"/>
        <c:crosses val="autoZero"/>
        <c:crossBetween val="midCat"/>
        <c:majorUnit val="4096"/>
      </c:valAx>
      <c:valAx>
        <c:axId val="204654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Лист1!$K$3</c:f>
              <c:strCache>
                <c:ptCount val="1"/>
                <c:pt idx="0">
                  <c:v>prefill,  tok/s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54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Лист1!$O$63</c:f>
          <c:strCache>
            <c:ptCount val="1"/>
            <c:pt idx="0">
              <c:v>Prefill Throughput: Baseline vs Intra-Prompt Pipeline Scheduling 4×RTX 3090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Лист1!$O$62</c:f>
              <c:strCache>
                <c:ptCount val="1"/>
                <c:pt idx="0">
                  <c:v>Baseline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Лист1!$B$65:$B$75</c:f>
              <c:numCache>
                <c:formatCode>General</c:formatCode>
                <c:ptCount val="11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</c:numCache>
            </c:numRef>
          </c:xVal>
          <c:yVal>
            <c:numRef>
              <c:f>Лист1!$K$65:$K$75</c:f>
              <c:numCache>
                <c:formatCode>0</c:formatCode>
                <c:ptCount val="11"/>
                <c:pt idx="0">
                  <c:v>688.48395832377003</c:v>
                </c:pt>
                <c:pt idx="1">
                  <c:v>1100.68661879553</c:v>
                </c:pt>
                <c:pt idx="2">
                  <c:v>1275.2463031023401</c:v>
                </c:pt>
                <c:pt idx="3">
                  <c:v>1485.5957536963599</c:v>
                </c:pt>
                <c:pt idx="4">
                  <c:v>1524.18275235395</c:v>
                </c:pt>
                <c:pt idx="5">
                  <c:v>1582.9937706025</c:v>
                </c:pt>
                <c:pt idx="6">
                  <c:v>1543.59911195782</c:v>
                </c:pt>
                <c:pt idx="7">
                  <c:v>1522.0413400309701</c:v>
                </c:pt>
                <c:pt idx="8">
                  <c:v>1476.96483320842</c:v>
                </c:pt>
                <c:pt idx="9">
                  <c:v>1411.0817952867301</c:v>
                </c:pt>
                <c:pt idx="10">
                  <c:v>1365.72458586479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5-4EA1-8F44-9B34C8F329D2}"/>
            </c:ext>
          </c:extLst>
        </c:ser>
        <c:ser>
          <c:idx val="1"/>
          <c:order val="1"/>
          <c:tx>
            <c:strRef>
              <c:f>Лист1!$O$77</c:f>
              <c:strCache>
                <c:ptCount val="1"/>
                <c:pt idx="0">
                  <c:v>Intra-Prompt Pipeline Scheduling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Лист1!$B$80:$B$90</c:f>
              <c:numCache>
                <c:formatCode>General</c:formatCode>
                <c:ptCount val="11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</c:numCache>
            </c:numRef>
          </c:xVal>
          <c:yVal>
            <c:numRef>
              <c:f>Лист1!$K$80:$K$90</c:f>
              <c:numCache>
                <c:formatCode>0</c:formatCode>
                <c:ptCount val="11"/>
                <c:pt idx="0">
                  <c:v>689.01972758051397</c:v>
                </c:pt>
                <c:pt idx="1">
                  <c:v>1104.0332261428</c:v>
                </c:pt>
                <c:pt idx="2">
                  <c:v>1273.1517704571199</c:v>
                </c:pt>
                <c:pt idx="3">
                  <c:v>1478.4671102550201</c:v>
                </c:pt>
                <c:pt idx="4">
                  <c:v>2169.5391592237302</c:v>
                </c:pt>
                <c:pt idx="5">
                  <c:v>2454.9705559417098</c:v>
                </c:pt>
                <c:pt idx="6">
                  <c:v>2648.1550980715801</c:v>
                </c:pt>
                <c:pt idx="7">
                  <c:v>2761.5134082944701</c:v>
                </c:pt>
                <c:pt idx="8">
                  <c:v>2758.4038826897399</c:v>
                </c:pt>
                <c:pt idx="9">
                  <c:v>2413.4321255134</c:v>
                </c:pt>
                <c:pt idx="10">
                  <c:v>2335.3856440898198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5-4EA1-8F44-9B34C8F32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545775"/>
        <c:axId val="2046546191"/>
      </c:scatterChart>
      <c:valAx>
        <c:axId val="2046545775"/>
        <c:scaling>
          <c:orientation val="minMax"/>
          <c:max val="33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Лист1!$B$3</c:f>
              <c:strCache>
                <c:ptCount val="1"/>
                <c:pt idx="0">
                  <c:v>prompt, tokens</c:v>
                </c:pt>
              </c:strCache>
            </c:strRef>
          </c:tx>
          <c:layout>
            <c:manualLayout>
              <c:xMode val="edge"/>
              <c:yMode val="edge"/>
              <c:x val="0.57848164110693401"/>
              <c:y val="0.934697561277137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546191"/>
        <c:crosses val="autoZero"/>
        <c:crossBetween val="midCat"/>
        <c:majorUnit val="4096"/>
      </c:valAx>
      <c:valAx>
        <c:axId val="204654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Лист1!$K$3</c:f>
              <c:strCache>
                <c:ptCount val="1"/>
                <c:pt idx="0">
                  <c:v>prefill,  tok/s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54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Лист1!$O$98</c:f>
          <c:strCache>
            <c:ptCount val="1"/>
            <c:pt idx="0">
              <c:v>Prefill Throughput on 10× NVIDIA P104-100 (Pascal)
  Baseline vs Intra-Prompt Pipeline Scheduling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Лист1!$O$96</c:f>
              <c:strCache>
                <c:ptCount val="1"/>
                <c:pt idx="0">
                  <c:v>Intra-Prompt Pipeline Scheduling (UB=32)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>
              <a:glow rad="127000">
                <a:schemeClr val="bg1"/>
              </a:glo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>
                <a:glow rad="127000">
                  <a:schemeClr val="bg1"/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Лист1!$B$109:$B$120</c:f>
              <c:numCache>
                <c:formatCode>General</c:formatCode>
                <c:ptCount val="12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  <c:pt idx="11">
                  <c:v>64423</c:v>
                </c:pt>
              </c:numCache>
            </c:numRef>
          </c:xVal>
          <c:yVal>
            <c:numRef>
              <c:f>Лист1!$K$109:$K$120</c:f>
              <c:numCache>
                <c:formatCode>0</c:formatCode>
                <c:ptCount val="12"/>
                <c:pt idx="0">
                  <c:v>124.700047483822</c:v>
                </c:pt>
                <c:pt idx="1">
                  <c:v>259.54403674401999</c:v>
                </c:pt>
                <c:pt idx="2">
                  <c:v>405.72499106367701</c:v>
                </c:pt>
                <c:pt idx="3">
                  <c:v>449.21447903537501</c:v>
                </c:pt>
                <c:pt idx="4">
                  <c:v>437.721169467251</c:v>
                </c:pt>
                <c:pt idx="5">
                  <c:v>436.46350576697398</c:v>
                </c:pt>
                <c:pt idx="6">
                  <c:v>416.812364643835</c:v>
                </c:pt>
                <c:pt idx="7">
                  <c:v>369.71515073419101</c:v>
                </c:pt>
                <c:pt idx="8">
                  <c:v>344.99677970696598</c:v>
                </c:pt>
                <c:pt idx="9">
                  <c:v>289.36629982104699</c:v>
                </c:pt>
                <c:pt idx="10">
                  <c:v>261.86773571519302</c:v>
                </c:pt>
                <c:pt idx="11">
                  <c:v>150.46335276248999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6C-41C9-8B01-BC4D498374AE}"/>
            </c:ext>
          </c:extLst>
        </c:ser>
        <c:ser>
          <c:idx val="0"/>
          <c:order val="1"/>
          <c:tx>
            <c:strRef>
              <c:f>Лист1!$O$94</c:f>
              <c:strCache>
                <c:ptCount val="1"/>
                <c:pt idx="0">
                  <c:v>Baseline (UB=32)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Лист1!$B$94:$B$105</c:f>
              <c:numCache>
                <c:formatCode>General</c:formatCode>
                <c:ptCount val="12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  <c:pt idx="11">
                  <c:v>64423</c:v>
                </c:pt>
              </c:numCache>
            </c:numRef>
          </c:xVal>
          <c:yVal>
            <c:numRef>
              <c:f>Лист1!$K$94:$K$105</c:f>
              <c:numCache>
                <c:formatCode>0</c:formatCode>
                <c:ptCount val="12"/>
                <c:pt idx="0">
                  <c:v>71.901388514500397</c:v>
                </c:pt>
                <c:pt idx="1">
                  <c:v>87.098063606125905</c:v>
                </c:pt>
                <c:pt idx="2">
                  <c:v>92.581103823472105</c:v>
                </c:pt>
                <c:pt idx="3">
                  <c:v>90.3292425764852</c:v>
                </c:pt>
                <c:pt idx="4">
                  <c:v>89.366225951145097</c:v>
                </c:pt>
                <c:pt idx="5">
                  <c:v>85.7701486256192</c:v>
                </c:pt>
                <c:pt idx="6">
                  <c:v>84.972130254948297</c:v>
                </c:pt>
                <c:pt idx="7">
                  <c:v>79.641404588238601</c:v>
                </c:pt>
                <c:pt idx="8">
                  <c:v>76.717625543898293</c:v>
                </c:pt>
                <c:pt idx="9">
                  <c:v>70.854002425757102</c:v>
                </c:pt>
                <c:pt idx="10">
                  <c:v>68.200461693456006</c:v>
                </c:pt>
                <c:pt idx="11">
                  <c:v>55.5425896116353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C-41C9-8B01-BC4D498374AE}"/>
            </c:ext>
          </c:extLst>
        </c:ser>
        <c:ser>
          <c:idx val="1"/>
          <c:order val="2"/>
          <c:tx>
            <c:strRef>
              <c:f>Лист1!$O$95</c:f>
              <c:strCache>
                <c:ptCount val="1"/>
                <c:pt idx="0">
                  <c:v>Baseline (UB=512)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Лист1!$B$124:$B$135</c:f>
              <c:numCache>
                <c:formatCode>General</c:formatCode>
                <c:ptCount val="12"/>
                <c:pt idx="0">
                  <c:v>255</c:v>
                </c:pt>
                <c:pt idx="1">
                  <c:v>504</c:v>
                </c:pt>
                <c:pt idx="2">
                  <c:v>1017</c:v>
                </c:pt>
                <c:pt idx="3">
                  <c:v>2044</c:v>
                </c:pt>
                <c:pt idx="4">
                  <c:v>4076</c:v>
                </c:pt>
                <c:pt idx="5">
                  <c:v>6142</c:v>
                </c:pt>
                <c:pt idx="6">
                  <c:v>8164</c:v>
                </c:pt>
                <c:pt idx="7">
                  <c:v>12280</c:v>
                </c:pt>
                <c:pt idx="8">
                  <c:v>16373</c:v>
                </c:pt>
                <c:pt idx="9">
                  <c:v>24560</c:v>
                </c:pt>
                <c:pt idx="10">
                  <c:v>32761</c:v>
                </c:pt>
                <c:pt idx="11">
                  <c:v>64423</c:v>
                </c:pt>
              </c:numCache>
            </c:numRef>
          </c:xVal>
          <c:yVal>
            <c:numRef>
              <c:f>Лист1!$K$124:$K$135</c:f>
              <c:numCache>
                <c:formatCode>0</c:formatCode>
                <c:ptCount val="12"/>
                <c:pt idx="0">
                  <c:v>113.842080943951</c:v>
                </c:pt>
                <c:pt idx="1">
                  <c:v>210.904428490844</c:v>
                </c:pt>
                <c:pt idx="2">
                  <c:v>232.585849220791</c:v>
                </c:pt>
                <c:pt idx="3">
                  <c:v>241.122157038236</c:v>
                </c:pt>
                <c:pt idx="4">
                  <c:v>235.94041705652401</c:v>
                </c:pt>
                <c:pt idx="5">
                  <c:v>226.47926042537401</c:v>
                </c:pt>
                <c:pt idx="6">
                  <c:v>216.93061042371201</c:v>
                </c:pt>
                <c:pt idx="7">
                  <c:v>196.52388299697699</c:v>
                </c:pt>
                <c:pt idx="8">
                  <c:v>180.77730930646501</c:v>
                </c:pt>
                <c:pt idx="9">
                  <c:v>155.081337256773</c:v>
                </c:pt>
                <c:pt idx="10">
                  <c:v>136.54600777709899</c:v>
                </c:pt>
                <c:pt idx="11">
                  <c:v>91.877096457449795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C-41C9-8B01-BC4D49837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545775"/>
        <c:axId val="2046546191"/>
      </c:scatterChart>
      <c:valAx>
        <c:axId val="2046545775"/>
        <c:scaling>
          <c:orientation val="minMax"/>
          <c:max val="33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Лист1!$B$3</c:f>
              <c:strCache>
                <c:ptCount val="1"/>
                <c:pt idx="0">
                  <c:v>prompt, tokens</c:v>
                </c:pt>
              </c:strCache>
            </c:strRef>
          </c:tx>
          <c:layout>
            <c:manualLayout>
              <c:xMode val="edge"/>
              <c:yMode val="edge"/>
              <c:x val="0.86102368726188505"/>
              <c:y val="0.934697561277137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546191"/>
        <c:crosses val="autoZero"/>
        <c:crossBetween val="midCat"/>
        <c:majorUnit val="4096"/>
      </c:valAx>
      <c:valAx>
        <c:axId val="204654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Лист1!$K$3</c:f>
              <c:strCache>
                <c:ptCount val="1"/>
                <c:pt idx="0">
                  <c:v>prefill,  tok/s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6545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21544</xdr:colOff>
      <xdr:row>1</xdr:row>
      <xdr:rowOff>28801</xdr:rowOff>
    </xdr:from>
    <xdr:to>
      <xdr:col>29</xdr:col>
      <xdr:colOff>162313</xdr:colOff>
      <xdr:row>24</xdr:row>
      <xdr:rowOff>168170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045A87-E08B-4C90-AF55-20009EAEF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61</xdr:row>
      <xdr:rowOff>0</xdr:rowOff>
    </xdr:from>
    <xdr:to>
      <xdr:col>29</xdr:col>
      <xdr:colOff>150294</xdr:colOff>
      <xdr:row>86</xdr:row>
      <xdr:rowOff>139369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E6AE799-898D-4391-B819-A8D24B728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</xdr:colOff>
      <xdr:row>106</xdr:row>
      <xdr:rowOff>28575</xdr:rowOff>
    </xdr:from>
    <xdr:to>
      <xdr:col>29</xdr:col>
      <xdr:colOff>169344</xdr:colOff>
      <xdr:row>131</xdr:row>
      <xdr:rowOff>167944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29DCD5D-68AE-4F05-8546-5275C953D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0.06559</cdr:x>
      <cdr:y>0.91906</cdr:y>
    </cdr:from>
    <cdr:to>
      <cdr:x>0.6508</cdr:x>
      <cdr:y>0.9929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065D8620-6904-4EA7-89D3-A9E0FA42837B}"/>
            </a:ext>
          </a:extLst>
        </cdr:cNvPr>
        <cdr:cNvSpPr txBox="1"/>
      </cdr:nvSpPr>
      <cdr:spPr>
        <a:xfrm xmlns:a="http://schemas.openxmlformats.org/drawingml/2006/main">
          <a:off x="569006" y="4505099"/>
          <a:ext cx="5076824" cy="361950"/>
        </a:xfrm>
        <a:prstGeom xmlns:a="http://schemas.openxmlformats.org/drawingml/2006/main" prst="rect">
          <a:avLst/>
        </a:prstGeom>
        <a:noFill xmlns:a="http://schemas.openxmlformats.org/drawingml/2006/main"/>
        <a:effectLst xmlns:a="http://schemas.openxmlformats.org/drawingml/2006/main">
          <a:glow rad="127000">
            <a:schemeClr val="accent1"/>
          </a:glow>
        </a:effectLst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ysClr val="windowText" lastClr="000000"/>
              </a:solidFill>
            </a:rPr>
            <a:t>Model: GPT-OSS-120B Q4_K_M | 5× and 8× NVIDIA RTX 5060 Ti 16GB | UB=768</a:t>
          </a:r>
          <a:endParaRPr lang="ru-RU" sz="1100">
            <a:solidFill>
              <a:sysClr val="windowText" lastClr="000000"/>
            </a:solidFill>
          </a:endParaRPr>
        </a:p>
        <a:p xmlns:a="http://schemas.openxmlformats.org/drawingml/2006/main">
          <a:endParaRPr lang="ru-RU" sz="1100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0.17567</cdr:x>
      <cdr:y>0.76948</cdr:y>
    </cdr:from>
    <cdr:to>
      <cdr:x>0.87288</cdr:x>
      <cdr:y>0.92105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8A9BD4-9CAE-415B-97BD-11D3BAE66E01}"/>
            </a:ext>
          </a:extLst>
        </cdr:cNvPr>
        <cdr:cNvSpPr txBox="1"/>
      </cdr:nvSpPr>
      <cdr:spPr>
        <a:xfrm xmlns:a="http://schemas.openxmlformats.org/drawingml/2006/main">
          <a:off x="1524000" y="3771900"/>
          <a:ext cx="6048375" cy="742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0.06698</cdr:x>
      <cdr:y>0.92493</cdr:y>
    </cdr:from>
    <cdr:to>
      <cdr:x>0.56106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C3D7FBE-1BC4-4C3C-A563-ACFF05983874}"/>
            </a:ext>
          </a:extLst>
        </cdr:cNvPr>
        <cdr:cNvSpPr txBox="1"/>
      </cdr:nvSpPr>
      <cdr:spPr>
        <a:xfrm xmlns:a="http://schemas.openxmlformats.org/drawingml/2006/main">
          <a:off x="581026" y="4533900"/>
          <a:ext cx="4286250" cy="367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Model: GPT-OSS-120B Q4_K_M | 4× NVIDIA RTX 3090 | UB=768</a:t>
          </a:r>
          <a:endParaRPr lang="ru-RU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0.17567</cdr:x>
      <cdr:y>0.76948</cdr:y>
    </cdr:from>
    <cdr:to>
      <cdr:x>0.87288</cdr:x>
      <cdr:y>0.92105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8A9BD4-9CAE-415B-97BD-11D3BAE66E01}"/>
            </a:ext>
          </a:extLst>
        </cdr:cNvPr>
        <cdr:cNvSpPr txBox="1"/>
      </cdr:nvSpPr>
      <cdr:spPr>
        <a:xfrm xmlns:a="http://schemas.openxmlformats.org/drawingml/2006/main">
          <a:off x="1524000" y="3771900"/>
          <a:ext cx="6048375" cy="742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0.06588</cdr:x>
      <cdr:y>0.93076</cdr:y>
    </cdr:from>
    <cdr:to>
      <cdr:x>0.81249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C3D7FBE-1BC4-4C3C-A563-ACFF05983874}"/>
            </a:ext>
          </a:extLst>
        </cdr:cNvPr>
        <cdr:cNvSpPr txBox="1"/>
      </cdr:nvSpPr>
      <cdr:spPr>
        <a:xfrm xmlns:a="http://schemas.openxmlformats.org/drawingml/2006/main">
          <a:off x="571500" y="4562475"/>
          <a:ext cx="6477000" cy="339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Model: GPT-OSS-120B Q4_K_M | 10× NVIDIA P104-100 (Pascal) | Baseline UB=32, Baseline UB=512, IPPS UB=32</a:t>
          </a:r>
          <a:endParaRPr lang="ru-RU" sz="11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xP104_ub512_205641_best baseline" connectionId="3" xr16:uid="{7BF3AFEC-0FEA-4360-BFDB-7486773D7A8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xP104_ub32_turbo_171748" connectionId="2" xr16:uid="{F8EBDAA5-F00B-479D-A106-6D66EFDDD1B9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xP104_ub32_191922" connectionId="1" xr16:uid="{4CAFB608-1E5F-4CA7-A93C-087866E9D58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xRTX 3090_ub768_turbo_214309" connectionId="5" xr16:uid="{91CD2AB5-22AE-4055-9F90-C011E0442BC7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xRTX 3090_ub768_214051" connectionId="4" xr16:uid="{AEB3823F-2894-4179-B043-2B35111616F9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xRTX 5060_ub768_turbo_133458" connectionId="9" xr16:uid="{1A5EC917-2B50-4A66-B28A-EE181B368791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xRTX 5060_ub768_133700" connectionId="8" xr16:uid="{FBEBE21B-0FB3-49DD-BBE3-B4543ADEAC1C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xRTX 5060_ub768_turbo_145406" connectionId="7" xr16:uid="{E45E02ED-F13D-4B79-92D6-CABBF56F741E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xRTX 5060_ub768_145602" connectionId="6" xr16:uid="{612D792E-CEC9-4E41-99EB-ACF839F45D4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6.xml"/><Relationship Id="rId3" Type="http://schemas.openxmlformats.org/officeDocument/2006/relationships/queryTable" Target="../queryTables/queryTable1.xml"/><Relationship Id="rId7" Type="http://schemas.openxmlformats.org/officeDocument/2006/relationships/queryTable" Target="../queryTables/query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4.xml"/><Relationship Id="rId11" Type="http://schemas.openxmlformats.org/officeDocument/2006/relationships/queryTable" Target="../queryTables/queryTable9.xml"/><Relationship Id="rId5" Type="http://schemas.openxmlformats.org/officeDocument/2006/relationships/queryTable" Target="../queryTables/queryTable3.xml"/><Relationship Id="rId10" Type="http://schemas.openxmlformats.org/officeDocument/2006/relationships/queryTable" Target="../queryTables/queryTable8.xml"/><Relationship Id="rId4" Type="http://schemas.openxmlformats.org/officeDocument/2006/relationships/queryTable" Target="../queryTables/queryTable2.xml"/><Relationship Id="rId9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35"/>
  <sheetViews>
    <sheetView tabSelected="1" zoomScaleNormal="100" workbookViewId="0">
      <selection activeCell="A3" sqref="A3"/>
    </sheetView>
  </sheetViews>
  <sheetFormatPr defaultRowHeight="15" x14ac:dyDescent="0.25"/>
  <cols>
    <col min="1" max="1" width="47.42578125" customWidth="1"/>
    <col min="2" max="2" width="14.7109375" bestFit="1" customWidth="1"/>
    <col min="3" max="3" width="18.42578125" bestFit="1" customWidth="1"/>
    <col min="4" max="4" width="10" bestFit="1" customWidth="1"/>
    <col min="5" max="5" width="18.85546875" bestFit="1" customWidth="1"/>
    <col min="6" max="6" width="11.140625" bestFit="1" customWidth="1"/>
    <col min="7" max="8" width="18.85546875" bestFit="1" customWidth="1"/>
    <col min="9" max="9" width="7.42578125" customWidth="1"/>
    <col min="10" max="10" width="7.85546875" customWidth="1"/>
    <col min="11" max="11" width="10" bestFit="1" customWidth="1"/>
    <col min="12" max="12" width="8" customWidth="1"/>
    <col min="13" max="13" width="6.42578125" customWidth="1"/>
    <col min="14" max="14" width="9.85546875" customWidth="1"/>
    <col min="15" max="15" width="40.7109375" customWidth="1"/>
  </cols>
  <sheetData>
    <row r="2" spans="1:22" x14ac:dyDescent="0.25">
      <c r="A2" s="2" t="s">
        <v>574</v>
      </c>
      <c r="B2" s="2"/>
      <c r="C2" s="2"/>
      <c r="D2" s="2"/>
      <c r="E2" s="2"/>
      <c r="F2" s="2"/>
      <c r="G2" s="2"/>
      <c r="H2" s="2" t="s">
        <v>68</v>
      </c>
      <c r="I2" s="2"/>
      <c r="J2" s="2"/>
      <c r="K2" s="2"/>
      <c r="L2" s="2"/>
      <c r="M2" s="2"/>
      <c r="N2" s="2"/>
      <c r="O2" t="s">
        <v>558</v>
      </c>
    </row>
    <row r="3" spans="1:22" ht="45" x14ac:dyDescent="0.25">
      <c r="A3" s="3" t="s">
        <v>0</v>
      </c>
      <c r="B3" s="3" t="s">
        <v>582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/>
      <c r="J3" s="3" t="s">
        <v>579</v>
      </c>
      <c r="K3" s="3" t="s">
        <v>575</v>
      </c>
      <c r="L3" s="3" t="s">
        <v>577</v>
      </c>
      <c r="M3" s="3" t="s">
        <v>576</v>
      </c>
      <c r="N3" s="3" t="s">
        <v>578</v>
      </c>
      <c r="O3" t="s">
        <v>581</v>
      </c>
      <c r="V3" t="s">
        <v>68</v>
      </c>
    </row>
    <row r="4" spans="1:22" x14ac:dyDescent="0.25">
      <c r="A4" t="s">
        <v>69</v>
      </c>
      <c r="B4">
        <v>2784</v>
      </c>
      <c r="C4">
        <v>128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J4" s="1">
        <f t="shared" ref="J4:J15" si="0">VALUE(SUBSTITUTE(D4,".",","))</f>
        <v>1525.1859999999999</v>
      </c>
      <c r="K4" s="1">
        <f t="shared" ref="K4:K15" si="1">VALUE(SUBSTITUTE(E4,".",","))</f>
        <v>1825.3511375006001</v>
      </c>
      <c r="L4" s="1">
        <f t="shared" ref="L4:L15" si="2">VALUE(SUBSTITUTE(F4,".",","))</f>
        <v>1321.91</v>
      </c>
      <c r="M4" s="1">
        <f t="shared" ref="M4:M15" si="3">VALUE(SUBSTITUTE(G4,".",","))</f>
        <v>96.829587490827606</v>
      </c>
      <c r="N4" s="1">
        <f t="shared" ref="N4:N15" si="4">VALUE(SUBSTITUTE(H4,".",","))</f>
        <v>2874.35913085937</v>
      </c>
      <c r="O4" t="s">
        <v>68</v>
      </c>
      <c r="V4" t="s">
        <v>68</v>
      </c>
    </row>
    <row r="5" spans="1:22" x14ac:dyDescent="0.25">
      <c r="A5" t="s">
        <v>69</v>
      </c>
      <c r="B5">
        <v>255</v>
      </c>
      <c r="C5">
        <v>128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J5" s="1">
        <f t="shared" si="0"/>
        <v>237.375</v>
      </c>
      <c r="K5" s="1">
        <f t="shared" si="1"/>
        <v>1074.24960505529</v>
      </c>
      <c r="L5" s="1">
        <f t="shared" si="2"/>
        <v>1274.0519999999999</v>
      </c>
      <c r="M5" s="1">
        <f t="shared" si="3"/>
        <v>100.466856925776</v>
      </c>
      <c r="N5" s="1">
        <f t="shared" si="4"/>
        <v>1521.22497558593</v>
      </c>
      <c r="O5" t="s">
        <v>587</v>
      </c>
      <c r="V5" t="s">
        <v>68</v>
      </c>
    </row>
    <row r="6" spans="1:22" x14ac:dyDescent="0.25">
      <c r="A6" t="s">
        <v>69</v>
      </c>
      <c r="B6">
        <v>504</v>
      </c>
      <c r="C6">
        <v>128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J6" s="1">
        <f t="shared" si="0"/>
        <v>310.77699999999999</v>
      </c>
      <c r="K6" s="1">
        <f t="shared" si="1"/>
        <v>1621.7416346769501</v>
      </c>
      <c r="L6" s="1">
        <f t="shared" si="2"/>
        <v>1281.069</v>
      </c>
      <c r="M6" s="1">
        <f t="shared" si="3"/>
        <v>99.916554065393797</v>
      </c>
      <c r="N6" s="1">
        <f t="shared" si="4"/>
        <v>1628.0834674835201</v>
      </c>
      <c r="O6" t="s">
        <v>594</v>
      </c>
      <c r="V6" t="s">
        <v>68</v>
      </c>
    </row>
    <row r="7" spans="1:22" x14ac:dyDescent="0.25">
      <c r="A7" t="s">
        <v>69</v>
      </c>
      <c r="B7">
        <v>1017</v>
      </c>
      <c r="C7">
        <v>128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J7" s="1">
        <f t="shared" si="0"/>
        <v>573.101</v>
      </c>
      <c r="K7" s="1">
        <f t="shared" si="1"/>
        <v>1774.55631729834</v>
      </c>
      <c r="L7" s="1">
        <f t="shared" si="2"/>
        <v>1294.806</v>
      </c>
      <c r="M7" s="1">
        <f t="shared" si="3"/>
        <v>98.856508233665807</v>
      </c>
      <c r="N7" s="1">
        <f t="shared" si="4"/>
        <v>1925.2660274505599</v>
      </c>
      <c r="V7" t="s">
        <v>68</v>
      </c>
    </row>
    <row r="8" spans="1:22" x14ac:dyDescent="0.25">
      <c r="A8" t="s">
        <v>69</v>
      </c>
      <c r="B8">
        <v>2044</v>
      </c>
      <c r="C8">
        <v>128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J8" s="1">
        <f t="shared" si="0"/>
        <v>999.74800000000005</v>
      </c>
      <c r="K8" s="1">
        <f t="shared" si="1"/>
        <v>2044.5152178348901</v>
      </c>
      <c r="L8" s="1">
        <f t="shared" si="2"/>
        <v>1308.711</v>
      </c>
      <c r="M8" s="1">
        <f t="shared" si="3"/>
        <v>97.806161941024399</v>
      </c>
      <c r="N8" s="1">
        <f t="shared" si="4"/>
        <v>2500.23460388183</v>
      </c>
      <c r="V8" t="s">
        <v>68</v>
      </c>
    </row>
    <row r="9" spans="1:22" x14ac:dyDescent="0.25">
      <c r="A9" t="s">
        <v>69</v>
      </c>
      <c r="B9">
        <v>4076</v>
      </c>
      <c r="C9">
        <v>128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J9" s="1">
        <f t="shared" si="0"/>
        <v>1969.144</v>
      </c>
      <c r="K9" s="1">
        <f t="shared" si="1"/>
        <v>2069.9349565090201</v>
      </c>
      <c r="L9" s="1">
        <f t="shared" si="2"/>
        <v>1339.5029999999999</v>
      </c>
      <c r="M9" s="1">
        <f t="shared" si="3"/>
        <v>95.557830030989095</v>
      </c>
      <c r="N9" s="1">
        <f t="shared" si="4"/>
        <v>3450.47974586486</v>
      </c>
      <c r="V9" t="s">
        <v>68</v>
      </c>
    </row>
    <row r="10" spans="1:22" x14ac:dyDescent="0.25">
      <c r="A10" t="s">
        <v>69</v>
      </c>
      <c r="B10">
        <v>6142</v>
      </c>
      <c r="C10">
        <v>128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J10" s="1">
        <f t="shared" si="0"/>
        <v>2863.5439999999999</v>
      </c>
      <c r="K10" s="1">
        <f t="shared" si="1"/>
        <v>2144.8945781870202</v>
      </c>
      <c r="L10" s="1">
        <f t="shared" si="2"/>
        <v>1372.9359999999999</v>
      </c>
      <c r="M10" s="1">
        <f t="shared" si="3"/>
        <v>93.230857082922995</v>
      </c>
      <c r="N10" s="1">
        <f t="shared" si="4"/>
        <v>4436.7802143096897</v>
      </c>
      <c r="V10" t="s">
        <v>68</v>
      </c>
    </row>
    <row r="11" spans="1:22" x14ac:dyDescent="0.25">
      <c r="A11" t="s">
        <v>69</v>
      </c>
      <c r="B11">
        <v>8164</v>
      </c>
      <c r="C11">
        <v>128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J11" s="1">
        <f t="shared" si="0"/>
        <v>3886.0630000000001</v>
      </c>
      <c r="K11" s="1">
        <f t="shared" si="1"/>
        <v>2100.8408767433698</v>
      </c>
      <c r="L11" s="1">
        <f t="shared" si="2"/>
        <v>1373.9839999999999</v>
      </c>
      <c r="M11" s="1">
        <f t="shared" si="3"/>
        <v>93.159745673894307</v>
      </c>
      <c r="N11" s="1">
        <f t="shared" si="4"/>
        <v>5518.6505317687897</v>
      </c>
      <c r="V11" t="s">
        <v>68</v>
      </c>
    </row>
    <row r="12" spans="1:22" x14ac:dyDescent="0.25">
      <c r="A12" t="s">
        <v>69</v>
      </c>
      <c r="B12">
        <v>12280</v>
      </c>
      <c r="C12">
        <v>128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J12" s="1">
        <f t="shared" si="0"/>
        <v>5952.2669999999998</v>
      </c>
      <c r="K12" s="1">
        <f t="shared" si="1"/>
        <v>2063.07949559386</v>
      </c>
      <c r="L12" s="1">
        <f t="shared" si="2"/>
        <v>1417.6179999999999</v>
      </c>
      <c r="M12" s="1">
        <f t="shared" si="3"/>
        <v>90.292307236505096</v>
      </c>
      <c r="N12" s="1">
        <f t="shared" si="4"/>
        <v>7702.3799419403003</v>
      </c>
      <c r="V12" t="s">
        <v>68</v>
      </c>
    </row>
    <row r="13" spans="1:22" x14ac:dyDescent="0.25">
      <c r="A13" t="s">
        <v>69</v>
      </c>
      <c r="B13">
        <v>16373</v>
      </c>
      <c r="C13">
        <v>128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J13" s="1">
        <f t="shared" si="0"/>
        <v>8214.1010000000006</v>
      </c>
      <c r="K13" s="1">
        <f t="shared" si="1"/>
        <v>1993.27960540051</v>
      </c>
      <c r="L13" s="1">
        <f t="shared" si="2"/>
        <v>1465.4849999999999</v>
      </c>
      <c r="M13" s="1">
        <f t="shared" si="3"/>
        <v>87.343098018744598</v>
      </c>
      <c r="N13" s="1">
        <f t="shared" si="4"/>
        <v>10084.009170532199</v>
      </c>
      <c r="V13" t="s">
        <v>68</v>
      </c>
    </row>
    <row r="14" spans="1:22" x14ac:dyDescent="0.25">
      <c r="A14" t="s">
        <v>69</v>
      </c>
      <c r="B14">
        <v>24560</v>
      </c>
      <c r="C14">
        <v>128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J14" s="1">
        <f t="shared" si="0"/>
        <v>13010.907999999999</v>
      </c>
      <c r="K14" s="1">
        <f t="shared" si="1"/>
        <v>1887.6468882878801</v>
      </c>
      <c r="L14" s="1">
        <f t="shared" si="2"/>
        <v>1558.2329999999999</v>
      </c>
      <c r="M14" s="1">
        <f t="shared" si="3"/>
        <v>82.144326297800106</v>
      </c>
      <c r="N14" s="1">
        <f t="shared" si="4"/>
        <v>15122.2870349884</v>
      </c>
      <c r="V14" t="s">
        <v>68</v>
      </c>
    </row>
    <row r="15" spans="1:22" x14ac:dyDescent="0.25">
      <c r="A15" t="s">
        <v>69</v>
      </c>
      <c r="B15">
        <v>32761</v>
      </c>
      <c r="C15">
        <v>128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  <c r="J15" s="1">
        <f t="shared" ref="J15:J30" si="5">VALUE(SUBSTITUTE(D15,".",","))</f>
        <v>18059.931</v>
      </c>
      <c r="K15" s="1">
        <f t="shared" si="1"/>
        <v>1814.0157899828</v>
      </c>
      <c r="L15" s="1">
        <f t="shared" si="2"/>
        <v>1651.6320000000001</v>
      </c>
      <c r="M15" s="1">
        <f t="shared" si="3"/>
        <v>77.499103916610906</v>
      </c>
      <c r="N15" s="1">
        <f t="shared" si="4"/>
        <v>20372.245311736999</v>
      </c>
      <c r="V15" t="s">
        <v>68</v>
      </c>
    </row>
    <row r="16" spans="1:22" x14ac:dyDescent="0.25">
      <c r="J16" t="s">
        <v>68</v>
      </c>
      <c r="V16" t="s">
        <v>68</v>
      </c>
    </row>
    <row r="17" spans="1:15" x14ac:dyDescent="0.25">
      <c r="A17" s="2" t="s">
        <v>573</v>
      </c>
      <c r="B17" s="2"/>
      <c r="C17" s="2"/>
      <c r="D17" s="2"/>
      <c r="E17" s="2"/>
      <c r="F17" s="2"/>
      <c r="G17" s="2"/>
      <c r="H17" s="2"/>
      <c r="I17" s="2"/>
      <c r="J17" s="2" t="s">
        <v>68</v>
      </c>
      <c r="K17" s="2"/>
      <c r="L17" s="2"/>
      <c r="M17" s="2"/>
      <c r="N17" s="2"/>
      <c r="O17" t="s">
        <v>559</v>
      </c>
    </row>
    <row r="18" spans="1:15" x14ac:dyDescent="0.2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68</v>
      </c>
      <c r="J18" s="2" t="s">
        <v>3</v>
      </c>
      <c r="K18" s="2" t="s">
        <v>4</v>
      </c>
      <c r="L18" s="2" t="s">
        <v>5</v>
      </c>
      <c r="M18" s="2" t="s">
        <v>6</v>
      </c>
      <c r="N18" s="2" t="s">
        <v>7</v>
      </c>
    </row>
    <row r="19" spans="1:15" x14ac:dyDescent="0.25">
      <c r="A19" t="s">
        <v>130</v>
      </c>
      <c r="B19">
        <v>2784</v>
      </c>
      <c r="C19">
        <v>128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J19" s="1">
        <f t="shared" ref="J19:J31" si="6">VALUE(SUBSTITUTE(D19,".",","))</f>
        <v>1372.327</v>
      </c>
      <c r="K19" s="1">
        <f t="shared" ref="K19:K31" si="7">VALUE(SUBSTITUTE(E19,".",","))</f>
        <v>2028.67100916909</v>
      </c>
      <c r="L19" s="1">
        <f t="shared" ref="L19:L31" si="8">VALUE(SUBSTITUTE(F19,".",","))</f>
        <v>1321.3889999999999</v>
      </c>
      <c r="M19" s="1">
        <f t="shared" ref="M19:M31" si="9">VALUE(SUBSTITUTE(G19,".",","))</f>
        <v>96.867765661739199</v>
      </c>
      <c r="N19" s="1">
        <f t="shared" ref="N19:N31" si="10">VALUE(SUBSTITUTE(H19,".",","))</f>
        <v>2720.35646438598</v>
      </c>
    </row>
    <row r="20" spans="1:15" x14ac:dyDescent="0.25">
      <c r="A20" t="s">
        <v>130</v>
      </c>
      <c r="B20">
        <v>255</v>
      </c>
      <c r="C20">
        <v>128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J20" s="1">
        <f t="shared" si="6"/>
        <v>236.97</v>
      </c>
      <c r="K20" s="1">
        <f t="shared" si="7"/>
        <v>1076.08558045322</v>
      </c>
      <c r="L20" s="1">
        <f t="shared" si="8"/>
        <v>1274.297</v>
      </c>
      <c r="M20" s="1">
        <f t="shared" si="9"/>
        <v>100.447540879402</v>
      </c>
      <c r="N20" s="1">
        <f t="shared" si="10"/>
        <v>1522.76134490966</v>
      </c>
    </row>
    <row r="21" spans="1:15" x14ac:dyDescent="0.25">
      <c r="A21" t="s">
        <v>130</v>
      </c>
      <c r="B21">
        <v>504</v>
      </c>
      <c r="C21">
        <v>128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J21" s="1">
        <f t="shared" si="6"/>
        <v>310.86900000000003</v>
      </c>
      <c r="K21" s="1">
        <f t="shared" si="7"/>
        <v>1621.26168900726</v>
      </c>
      <c r="L21" s="1">
        <f t="shared" si="8"/>
        <v>1281.6300000000001</v>
      </c>
      <c r="M21" s="1">
        <f t="shared" si="9"/>
        <v>99.872818208063094</v>
      </c>
      <c r="N21" s="1">
        <f t="shared" si="10"/>
        <v>1633.13889503479</v>
      </c>
    </row>
    <row r="22" spans="1:15" x14ac:dyDescent="0.25">
      <c r="A22" t="s">
        <v>130</v>
      </c>
      <c r="B22">
        <v>1017</v>
      </c>
      <c r="C22">
        <v>128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J22" s="1">
        <f t="shared" si="6"/>
        <v>572.07899999999995</v>
      </c>
      <c r="K22" s="1">
        <f t="shared" si="7"/>
        <v>1777.7265028081699</v>
      </c>
      <c r="L22" s="1">
        <f t="shared" si="8"/>
        <v>1294.883</v>
      </c>
      <c r="M22" s="1">
        <f t="shared" si="9"/>
        <v>98.850629748015805</v>
      </c>
      <c r="N22" s="1">
        <f t="shared" si="10"/>
        <v>1932.05833435058</v>
      </c>
    </row>
    <row r="23" spans="1:15" x14ac:dyDescent="0.25">
      <c r="A23" t="s">
        <v>130</v>
      </c>
      <c r="B23">
        <v>2044</v>
      </c>
      <c r="C23">
        <v>128</v>
      </c>
      <c r="D23" t="s">
        <v>90</v>
      </c>
      <c r="E23" t="s">
        <v>91</v>
      </c>
      <c r="F23" t="s">
        <v>92</v>
      </c>
      <c r="G23" t="s">
        <v>93</v>
      </c>
      <c r="H23" t="s">
        <v>94</v>
      </c>
      <c r="J23" s="1">
        <f t="shared" si="6"/>
        <v>998.27499999999998</v>
      </c>
      <c r="K23" s="1">
        <f t="shared" si="7"/>
        <v>2047.5319926873799</v>
      </c>
      <c r="L23" s="1">
        <f t="shared" si="8"/>
        <v>1308.729</v>
      </c>
      <c r="M23" s="1">
        <f t="shared" si="9"/>
        <v>97.804816734404099</v>
      </c>
      <c r="N23" s="1">
        <f t="shared" si="10"/>
        <v>2478.7819385528501</v>
      </c>
    </row>
    <row r="24" spans="1:15" x14ac:dyDescent="0.25">
      <c r="A24" t="s">
        <v>130</v>
      </c>
      <c r="B24">
        <v>4076</v>
      </c>
      <c r="C24">
        <v>128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  <c r="J24" s="1">
        <f t="shared" si="6"/>
        <v>1336.6289999999999</v>
      </c>
      <c r="K24" s="1">
        <f t="shared" si="7"/>
        <v>3049.4624910876501</v>
      </c>
      <c r="L24" s="1">
        <f t="shared" si="8"/>
        <v>1339.356</v>
      </c>
      <c r="M24" s="1">
        <f t="shared" si="9"/>
        <v>95.568317908009504</v>
      </c>
      <c r="N24" s="1">
        <f t="shared" si="10"/>
        <v>2815.66405296325</v>
      </c>
    </row>
    <row r="25" spans="1:15" x14ac:dyDescent="0.25">
      <c r="A25" t="s">
        <v>130</v>
      </c>
      <c r="B25">
        <v>6142</v>
      </c>
      <c r="C25">
        <v>128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J25" s="1">
        <f t="shared" si="6"/>
        <v>1797.827</v>
      </c>
      <c r="K25" s="1">
        <f t="shared" si="7"/>
        <v>3416.3465116498901</v>
      </c>
      <c r="L25" s="1">
        <f t="shared" si="8"/>
        <v>1372.81</v>
      </c>
      <c r="M25" s="1">
        <f t="shared" si="9"/>
        <v>93.239414048557293</v>
      </c>
      <c r="N25" s="1">
        <f t="shared" si="10"/>
        <v>3371.6449737548801</v>
      </c>
    </row>
    <row r="26" spans="1:15" x14ac:dyDescent="0.25">
      <c r="A26" t="s">
        <v>130</v>
      </c>
      <c r="B26">
        <v>8164</v>
      </c>
      <c r="C26">
        <v>128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J26" s="1">
        <f t="shared" si="6"/>
        <v>2142.8249999999998</v>
      </c>
      <c r="K26" s="1">
        <f t="shared" si="7"/>
        <v>3809.9238155239</v>
      </c>
      <c r="L26" s="1">
        <f t="shared" si="8"/>
        <v>1374.029</v>
      </c>
      <c r="M26" s="1">
        <f t="shared" si="9"/>
        <v>93.156694654916294</v>
      </c>
      <c r="N26" s="1">
        <f t="shared" si="10"/>
        <v>3773.2613086700399</v>
      </c>
    </row>
    <row r="27" spans="1:15" x14ac:dyDescent="0.25">
      <c r="A27" t="s">
        <v>130</v>
      </c>
      <c r="B27">
        <v>12280</v>
      </c>
      <c r="C27">
        <v>127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J27" s="1">
        <f t="shared" si="6"/>
        <v>3149.451</v>
      </c>
      <c r="K27" s="1">
        <f t="shared" si="7"/>
        <v>3899.0922544913301</v>
      </c>
      <c r="L27" s="1">
        <f t="shared" si="8"/>
        <v>1406.674</v>
      </c>
      <c r="M27" s="1">
        <f t="shared" si="9"/>
        <v>90.283889515267902</v>
      </c>
      <c r="N27" s="1">
        <f t="shared" si="10"/>
        <v>4861.5579605102503</v>
      </c>
    </row>
    <row r="28" spans="1:15" x14ac:dyDescent="0.25">
      <c r="A28" t="s">
        <v>130</v>
      </c>
      <c r="B28">
        <v>16373</v>
      </c>
      <c r="C28">
        <v>128</v>
      </c>
      <c r="D28" t="s">
        <v>115</v>
      </c>
      <c r="E28" t="s">
        <v>116</v>
      </c>
      <c r="F28" t="s">
        <v>117</v>
      </c>
      <c r="G28" t="s">
        <v>118</v>
      </c>
      <c r="H28" t="s">
        <v>119</v>
      </c>
      <c r="J28" s="1">
        <f t="shared" si="6"/>
        <v>4212.8159999999998</v>
      </c>
      <c r="K28" s="1">
        <f t="shared" si="7"/>
        <v>3886.4740354195301</v>
      </c>
      <c r="L28" s="1">
        <f t="shared" si="8"/>
        <v>1465.279</v>
      </c>
      <c r="M28" s="1">
        <f t="shared" si="9"/>
        <v>87.355377371817895</v>
      </c>
      <c r="N28" s="1">
        <f t="shared" si="10"/>
        <v>6075.6518840789704</v>
      </c>
    </row>
    <row r="29" spans="1:15" x14ac:dyDescent="0.25">
      <c r="A29" t="s">
        <v>130</v>
      </c>
      <c r="B29">
        <v>24560</v>
      </c>
      <c r="C29">
        <v>128</v>
      </c>
      <c r="D29" t="s">
        <v>120</v>
      </c>
      <c r="E29" t="s">
        <v>121</v>
      </c>
      <c r="F29" t="s">
        <v>122</v>
      </c>
      <c r="G29" t="s">
        <v>123</v>
      </c>
      <c r="H29" t="s">
        <v>124</v>
      </c>
      <c r="J29" s="1">
        <f t="shared" si="6"/>
        <v>7340.9269999999997</v>
      </c>
      <c r="K29" s="1">
        <f t="shared" si="7"/>
        <v>3345.62651283686</v>
      </c>
      <c r="L29" s="1">
        <f t="shared" si="8"/>
        <v>1558.402</v>
      </c>
      <c r="M29" s="1">
        <f t="shared" si="9"/>
        <v>82.135418204032007</v>
      </c>
      <c r="N29" s="1">
        <f t="shared" si="10"/>
        <v>9453.9663791656494</v>
      </c>
    </row>
    <row r="30" spans="1:15" x14ac:dyDescent="0.25">
      <c r="A30" t="s">
        <v>130</v>
      </c>
      <c r="B30">
        <v>32761</v>
      </c>
      <c r="C30">
        <v>128</v>
      </c>
      <c r="D30" t="s">
        <v>125</v>
      </c>
      <c r="E30" t="s">
        <v>126</v>
      </c>
      <c r="F30" t="s">
        <v>127</v>
      </c>
      <c r="G30" t="s">
        <v>128</v>
      </c>
      <c r="H30" t="s">
        <v>129</v>
      </c>
      <c r="J30" s="1">
        <f t="shared" ref="J30:J45" si="11">VALUE(SUBSTITUTE(D30,".",","))</f>
        <v>10534.788</v>
      </c>
      <c r="K30" s="1">
        <f t="shared" si="7"/>
        <v>3109.7920527684</v>
      </c>
      <c r="L30" s="1">
        <f t="shared" si="8"/>
        <v>1652.183</v>
      </c>
      <c r="M30" s="1">
        <f t="shared" si="9"/>
        <v>77.473258107606696</v>
      </c>
      <c r="N30" s="1">
        <f t="shared" si="10"/>
        <v>12826.369047164901</v>
      </c>
    </row>
    <row r="31" spans="1:15" x14ac:dyDescent="0.25">
      <c r="J31" t="s">
        <v>68</v>
      </c>
      <c r="K31" t="s">
        <v>68</v>
      </c>
      <c r="L31" t="s">
        <v>68</v>
      </c>
      <c r="M31" t="s">
        <v>68</v>
      </c>
      <c r="N31" t="s">
        <v>68</v>
      </c>
    </row>
    <row r="32" spans="1:15" x14ac:dyDescent="0.25">
      <c r="A32" s="2" t="s">
        <v>572</v>
      </c>
      <c r="B32" s="2"/>
      <c r="C32" s="2"/>
      <c r="D32" s="2"/>
      <c r="E32" s="2"/>
      <c r="F32" s="2"/>
      <c r="G32" s="2"/>
      <c r="H32" s="2"/>
      <c r="I32" s="2"/>
      <c r="J32" s="2" t="s">
        <v>68</v>
      </c>
      <c r="K32" s="2" t="s">
        <v>68</v>
      </c>
      <c r="L32" s="2" t="s">
        <v>68</v>
      </c>
      <c r="M32" s="2" t="s">
        <v>68</v>
      </c>
      <c r="N32" s="2" t="s">
        <v>68</v>
      </c>
      <c r="O32" t="s">
        <v>560</v>
      </c>
    </row>
    <row r="33" spans="1:15" x14ac:dyDescent="0.25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/>
      <c r="J33" s="2" t="s">
        <v>3</v>
      </c>
      <c r="K33" s="2" t="s">
        <v>4</v>
      </c>
      <c r="L33" s="2" t="s">
        <v>5</v>
      </c>
      <c r="M33" s="2" t="s">
        <v>6</v>
      </c>
      <c r="N33" s="2" t="s">
        <v>7</v>
      </c>
    </row>
    <row r="34" spans="1:15" x14ac:dyDescent="0.25">
      <c r="A34" t="s">
        <v>191</v>
      </c>
      <c r="B34">
        <v>2784</v>
      </c>
      <c r="C34">
        <v>128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J34" s="1">
        <f t="shared" ref="J34:J45" si="12">VALUE(SUBSTITUTE(D34,".",","))</f>
        <v>1569.7170000000001</v>
      </c>
      <c r="K34" s="1">
        <f t="shared" ref="K34:K45" si="13">VALUE(SUBSTITUTE(E34,".",","))</f>
        <v>1773.56810176611</v>
      </c>
      <c r="L34" s="1">
        <f t="shared" ref="L34:L45" si="14">VALUE(SUBSTITUTE(F34,".",","))</f>
        <v>1342.3119999999999</v>
      </c>
      <c r="M34" s="1">
        <f t="shared" ref="M34:M45" si="15">VALUE(SUBSTITUTE(G34,".",","))</f>
        <v>95.357860169617794</v>
      </c>
      <c r="N34" s="1">
        <f t="shared" ref="N34:N45" si="16">VALUE(SUBSTITUTE(H34,".",","))</f>
        <v>2938.64965438842</v>
      </c>
    </row>
    <row r="35" spans="1:15" x14ac:dyDescent="0.25">
      <c r="A35" t="s">
        <v>191</v>
      </c>
      <c r="B35">
        <v>255</v>
      </c>
      <c r="C35">
        <v>128</v>
      </c>
      <c r="D35" t="s">
        <v>136</v>
      </c>
      <c r="E35" t="s">
        <v>137</v>
      </c>
      <c r="F35" t="s">
        <v>138</v>
      </c>
      <c r="G35" t="s">
        <v>139</v>
      </c>
      <c r="H35" t="s">
        <v>140</v>
      </c>
      <c r="J35" s="1">
        <f t="shared" si="12"/>
        <v>245.57599999999999</v>
      </c>
      <c r="K35" s="1">
        <f t="shared" si="13"/>
        <v>1038.37508551324</v>
      </c>
      <c r="L35" s="1">
        <f t="shared" si="14"/>
        <v>1296.8589999999999</v>
      </c>
      <c r="M35" s="1">
        <f t="shared" si="15"/>
        <v>98.700012877267298</v>
      </c>
      <c r="N35" s="1">
        <f t="shared" si="16"/>
        <v>1692.8474903106601</v>
      </c>
    </row>
    <row r="36" spans="1:15" x14ac:dyDescent="0.25">
      <c r="A36" t="s">
        <v>191</v>
      </c>
      <c r="B36">
        <v>504</v>
      </c>
      <c r="C36">
        <v>128</v>
      </c>
      <c r="D36" t="s">
        <v>141</v>
      </c>
      <c r="E36" t="s">
        <v>142</v>
      </c>
      <c r="F36" t="s">
        <v>143</v>
      </c>
      <c r="G36" t="s">
        <v>144</v>
      </c>
      <c r="H36" t="s">
        <v>145</v>
      </c>
      <c r="J36" s="1">
        <f t="shared" si="12"/>
        <v>313.19799999999998</v>
      </c>
      <c r="K36" s="1">
        <f t="shared" si="13"/>
        <v>1609.2056781971701</v>
      </c>
      <c r="L36" s="1">
        <f t="shared" si="14"/>
        <v>1300.4970000000001</v>
      </c>
      <c r="M36" s="1">
        <f t="shared" si="15"/>
        <v>98.423910243545293</v>
      </c>
      <c r="N36" s="1">
        <f t="shared" si="16"/>
        <v>1654.5281410217201</v>
      </c>
    </row>
    <row r="37" spans="1:15" x14ac:dyDescent="0.25">
      <c r="A37" t="s">
        <v>191</v>
      </c>
      <c r="B37">
        <v>1017</v>
      </c>
      <c r="C37">
        <v>128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J37" s="1">
        <f t="shared" si="12"/>
        <v>577.32399999999996</v>
      </c>
      <c r="K37" s="1">
        <f t="shared" si="13"/>
        <v>1761.5758222419299</v>
      </c>
      <c r="L37" s="1">
        <f t="shared" si="14"/>
        <v>1313.539</v>
      </c>
      <c r="M37" s="1">
        <f t="shared" si="15"/>
        <v>97.446668884593393</v>
      </c>
      <c r="N37" s="1">
        <f t="shared" si="16"/>
        <v>1957.9436779022201</v>
      </c>
    </row>
    <row r="38" spans="1:15" x14ac:dyDescent="0.25">
      <c r="A38" t="s">
        <v>191</v>
      </c>
      <c r="B38">
        <v>2044</v>
      </c>
      <c r="C38">
        <v>128</v>
      </c>
      <c r="D38" t="s">
        <v>151</v>
      </c>
      <c r="E38" t="s">
        <v>152</v>
      </c>
      <c r="F38" t="s">
        <v>153</v>
      </c>
      <c r="G38" t="s">
        <v>154</v>
      </c>
      <c r="H38" t="s">
        <v>155</v>
      </c>
      <c r="J38" s="1">
        <f t="shared" si="12"/>
        <v>1011.428</v>
      </c>
      <c r="K38" s="1">
        <f t="shared" si="13"/>
        <v>2020.90509655655</v>
      </c>
      <c r="L38" s="1">
        <f t="shared" si="14"/>
        <v>1327.903</v>
      </c>
      <c r="M38" s="1">
        <f t="shared" si="15"/>
        <v>96.392582891973206</v>
      </c>
      <c r="N38" s="1">
        <f t="shared" si="16"/>
        <v>2454.4255733489899</v>
      </c>
    </row>
    <row r="39" spans="1:15" x14ac:dyDescent="0.25">
      <c r="A39" t="s">
        <v>191</v>
      </c>
      <c r="B39">
        <v>4076</v>
      </c>
      <c r="C39">
        <v>128</v>
      </c>
      <c r="D39" t="s">
        <v>156</v>
      </c>
      <c r="E39" t="s">
        <v>157</v>
      </c>
      <c r="F39" t="s">
        <v>158</v>
      </c>
      <c r="G39" t="s">
        <v>159</v>
      </c>
      <c r="H39" t="s">
        <v>160</v>
      </c>
      <c r="J39" s="1">
        <f t="shared" si="12"/>
        <v>1991.7090000000001</v>
      </c>
      <c r="K39" s="1">
        <f t="shared" si="13"/>
        <v>2046.4836981707599</v>
      </c>
      <c r="L39" s="1">
        <f t="shared" si="14"/>
        <v>1358.0740000000001</v>
      </c>
      <c r="M39" s="1">
        <f t="shared" si="15"/>
        <v>94.251123281941901</v>
      </c>
      <c r="N39" s="1">
        <f t="shared" si="16"/>
        <v>3534.3897342681798</v>
      </c>
    </row>
    <row r="40" spans="1:15" x14ac:dyDescent="0.25">
      <c r="A40" t="s">
        <v>191</v>
      </c>
      <c r="B40">
        <v>6142</v>
      </c>
      <c r="C40">
        <v>128</v>
      </c>
      <c r="D40" t="s">
        <v>161</v>
      </c>
      <c r="E40" t="s">
        <v>162</v>
      </c>
      <c r="F40" t="s">
        <v>163</v>
      </c>
      <c r="G40" t="s">
        <v>164</v>
      </c>
      <c r="H40" t="s">
        <v>165</v>
      </c>
      <c r="J40" s="1">
        <f t="shared" si="12"/>
        <v>2894.1210000000001</v>
      </c>
      <c r="K40" s="1">
        <f t="shared" si="13"/>
        <v>2122.2333136727798</v>
      </c>
      <c r="L40" s="1">
        <f t="shared" si="14"/>
        <v>1392.127</v>
      </c>
      <c r="M40" s="1">
        <f t="shared" si="15"/>
        <v>91.9456342704365</v>
      </c>
      <c r="N40" s="1">
        <f t="shared" si="16"/>
        <v>4492.2795295715296</v>
      </c>
    </row>
    <row r="41" spans="1:15" x14ac:dyDescent="0.25">
      <c r="A41" t="s">
        <v>191</v>
      </c>
      <c r="B41">
        <v>8164</v>
      </c>
      <c r="C41">
        <v>128</v>
      </c>
      <c r="D41" t="s">
        <v>166</v>
      </c>
      <c r="E41" t="s">
        <v>167</v>
      </c>
      <c r="F41" t="s">
        <v>168</v>
      </c>
      <c r="G41" t="s">
        <v>169</v>
      </c>
      <c r="H41" t="s">
        <v>170</v>
      </c>
      <c r="J41" s="1">
        <f t="shared" si="12"/>
        <v>3932.4279999999999</v>
      </c>
      <c r="K41" s="1">
        <f t="shared" si="13"/>
        <v>2076.0710685611998</v>
      </c>
      <c r="L41" s="1">
        <f t="shared" si="14"/>
        <v>1394.277</v>
      </c>
      <c r="M41" s="1">
        <f t="shared" si="15"/>
        <v>91.803852462602407</v>
      </c>
      <c r="N41" s="1">
        <f t="shared" si="16"/>
        <v>5633.0478191375696</v>
      </c>
    </row>
    <row r="42" spans="1:15" x14ac:dyDescent="0.25">
      <c r="A42" t="s">
        <v>191</v>
      </c>
      <c r="B42">
        <v>12280</v>
      </c>
      <c r="C42">
        <v>128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J42" s="1">
        <f t="shared" si="12"/>
        <v>6035.21</v>
      </c>
      <c r="K42" s="1">
        <f t="shared" si="13"/>
        <v>2034.726214995</v>
      </c>
      <c r="L42" s="1">
        <f t="shared" si="14"/>
        <v>1437.221</v>
      </c>
      <c r="M42" s="1">
        <f t="shared" si="15"/>
        <v>89.060763793459699</v>
      </c>
      <c r="N42" s="1">
        <f t="shared" si="16"/>
        <v>7842.2834873199399</v>
      </c>
    </row>
    <row r="43" spans="1:15" x14ac:dyDescent="0.25">
      <c r="A43" t="s">
        <v>191</v>
      </c>
      <c r="B43">
        <v>16373</v>
      </c>
      <c r="C43">
        <v>128</v>
      </c>
      <c r="D43" t="s">
        <v>176</v>
      </c>
      <c r="E43" t="s">
        <v>177</v>
      </c>
      <c r="F43" t="s">
        <v>178</v>
      </c>
      <c r="G43" t="s">
        <v>179</v>
      </c>
      <c r="H43" t="s">
        <v>180</v>
      </c>
      <c r="J43" s="1">
        <f t="shared" si="12"/>
        <v>8340.1350000000002</v>
      </c>
      <c r="K43" s="1">
        <f t="shared" si="13"/>
        <v>1963.1576707091599</v>
      </c>
      <c r="L43" s="1">
        <f t="shared" si="14"/>
        <v>1485.0540000000001</v>
      </c>
      <c r="M43" s="1">
        <f t="shared" si="15"/>
        <v>86.192151935215804</v>
      </c>
      <c r="N43" s="1">
        <f t="shared" si="16"/>
        <v>10309.569597244201</v>
      </c>
    </row>
    <row r="44" spans="1:15" x14ac:dyDescent="0.25">
      <c r="A44" t="s">
        <v>191</v>
      </c>
      <c r="B44">
        <v>24560</v>
      </c>
      <c r="C44">
        <v>128</v>
      </c>
      <c r="D44" t="s">
        <v>181</v>
      </c>
      <c r="E44" t="s">
        <v>182</v>
      </c>
      <c r="F44" t="s">
        <v>183</v>
      </c>
      <c r="G44" t="s">
        <v>184</v>
      </c>
      <c r="H44" t="s">
        <v>185</v>
      </c>
      <c r="J44" s="1">
        <f t="shared" si="12"/>
        <v>13254.334999999999</v>
      </c>
      <c r="K44" s="1">
        <f t="shared" si="13"/>
        <v>1852.9786669795201</v>
      </c>
      <c r="L44" s="1">
        <f t="shared" si="14"/>
        <v>1579.421</v>
      </c>
      <c r="M44" s="1">
        <f t="shared" si="15"/>
        <v>81.042356661080206</v>
      </c>
      <c r="N44" s="1">
        <f t="shared" si="16"/>
        <v>15439.237833023</v>
      </c>
    </row>
    <row r="45" spans="1:15" x14ac:dyDescent="0.25">
      <c r="A45" t="s">
        <v>191</v>
      </c>
      <c r="B45">
        <v>32761</v>
      </c>
      <c r="C45">
        <v>128</v>
      </c>
      <c r="D45" t="s">
        <v>186</v>
      </c>
      <c r="E45" t="s">
        <v>187</v>
      </c>
      <c r="F45" t="s">
        <v>188</v>
      </c>
      <c r="G45" t="s">
        <v>189</v>
      </c>
      <c r="H45" t="s">
        <v>190</v>
      </c>
      <c r="J45" s="1">
        <f t="shared" ref="J45:J60" si="17">VALUE(SUBSTITUTE(D45,".",","))</f>
        <v>18447.071</v>
      </c>
      <c r="K45" s="1">
        <f t="shared" si="13"/>
        <v>1775.9458940663201</v>
      </c>
      <c r="L45" s="1">
        <f t="shared" si="14"/>
        <v>1673.0070000000001</v>
      </c>
      <c r="M45" s="1">
        <f t="shared" si="15"/>
        <v>76.508944672676193</v>
      </c>
      <c r="N45" s="1">
        <f t="shared" si="16"/>
        <v>20960.6277942657</v>
      </c>
    </row>
    <row r="46" spans="1:15" x14ac:dyDescent="0.25">
      <c r="J46" t="s">
        <v>68</v>
      </c>
    </row>
    <row r="47" spans="1:15" x14ac:dyDescent="0.25">
      <c r="A47" s="2" t="s">
        <v>571</v>
      </c>
      <c r="B47" s="2"/>
      <c r="C47" s="2"/>
      <c r="D47" s="2"/>
      <c r="E47" s="2"/>
      <c r="F47" s="2"/>
      <c r="G47" s="2"/>
      <c r="H47" s="2"/>
      <c r="I47" s="2"/>
      <c r="J47" s="2" t="s">
        <v>68</v>
      </c>
      <c r="K47" s="2" t="s">
        <v>68</v>
      </c>
      <c r="L47" s="2" t="s">
        <v>68</v>
      </c>
      <c r="M47" s="2" t="s">
        <v>68</v>
      </c>
      <c r="N47" s="2" t="s">
        <v>68</v>
      </c>
      <c r="O47" t="s">
        <v>561</v>
      </c>
    </row>
    <row r="48" spans="1:15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/>
      <c r="J48" s="2" t="s">
        <v>3</v>
      </c>
      <c r="K48" s="2" t="s">
        <v>4</v>
      </c>
      <c r="L48" s="2" t="s">
        <v>5</v>
      </c>
      <c r="M48" s="2" t="s">
        <v>6</v>
      </c>
      <c r="N48" s="2" t="s">
        <v>7</v>
      </c>
    </row>
    <row r="49" spans="1:15" x14ac:dyDescent="0.25">
      <c r="A49" t="s">
        <v>252</v>
      </c>
      <c r="B49">
        <v>2784</v>
      </c>
      <c r="C49">
        <v>128</v>
      </c>
      <c r="D49" t="s">
        <v>192</v>
      </c>
      <c r="E49" t="s">
        <v>193</v>
      </c>
      <c r="F49" t="s">
        <v>194</v>
      </c>
      <c r="G49" t="s">
        <v>195</v>
      </c>
      <c r="H49" t="s">
        <v>196</v>
      </c>
      <c r="J49" s="1">
        <f t="shared" ref="J49:J60" si="18">VALUE(SUBSTITUTE(D49,".",","))</f>
        <v>1435.8510000000001</v>
      </c>
      <c r="K49" s="1">
        <f t="shared" ref="K49:K60" si="19">VALUE(SUBSTITUTE(E49,".",","))</f>
        <v>1938.9198461400199</v>
      </c>
      <c r="L49" s="1">
        <f t="shared" ref="L49:L60" si="20">VALUE(SUBSTITUTE(F49,".",","))</f>
        <v>1342.5260000000001</v>
      </c>
      <c r="M49" s="1">
        <f t="shared" ref="M49:M60" si="21">VALUE(SUBSTITUTE(G49,".",","))</f>
        <v>95.342660030420205</v>
      </c>
      <c r="N49" s="1">
        <f t="shared" ref="N49:N60" si="22">VALUE(SUBSTITUTE(H49,".",","))</f>
        <v>2805.6762218475301</v>
      </c>
    </row>
    <row r="50" spans="1:15" x14ac:dyDescent="0.25">
      <c r="A50" t="s">
        <v>252</v>
      </c>
      <c r="B50">
        <v>255</v>
      </c>
      <c r="C50">
        <v>128</v>
      </c>
      <c r="D50" t="s">
        <v>197</v>
      </c>
      <c r="E50" t="s">
        <v>198</v>
      </c>
      <c r="F50" t="s">
        <v>199</v>
      </c>
      <c r="G50" t="s">
        <v>200</v>
      </c>
      <c r="H50" t="s">
        <v>201</v>
      </c>
      <c r="J50" s="1">
        <f t="shared" si="18"/>
        <v>244.589</v>
      </c>
      <c r="K50" s="1">
        <f t="shared" si="19"/>
        <v>1042.56528298492</v>
      </c>
      <c r="L50" s="1">
        <f t="shared" si="20"/>
        <v>1297.607</v>
      </c>
      <c r="M50" s="1">
        <f t="shared" si="21"/>
        <v>98.643117677386101</v>
      </c>
      <c r="N50" s="1">
        <f t="shared" si="22"/>
        <v>1687.67714500427</v>
      </c>
    </row>
    <row r="51" spans="1:15" x14ac:dyDescent="0.25">
      <c r="A51" t="s">
        <v>252</v>
      </c>
      <c r="B51">
        <v>504</v>
      </c>
      <c r="C51">
        <v>128</v>
      </c>
      <c r="D51" t="s">
        <v>202</v>
      </c>
      <c r="E51" t="s">
        <v>203</v>
      </c>
      <c r="F51" t="s">
        <v>204</v>
      </c>
      <c r="G51" t="s">
        <v>205</v>
      </c>
      <c r="H51" t="s">
        <v>206</v>
      </c>
      <c r="J51" s="1">
        <f t="shared" si="18"/>
        <v>312.43900000000002</v>
      </c>
      <c r="K51" s="1">
        <f t="shared" si="19"/>
        <v>1613.1148800245801</v>
      </c>
      <c r="L51" s="1">
        <f t="shared" si="20"/>
        <v>1300.7249999999999</v>
      </c>
      <c r="M51" s="1">
        <f t="shared" si="21"/>
        <v>98.406657825443503</v>
      </c>
      <c r="N51" s="1">
        <f t="shared" si="22"/>
        <v>1650.1283645629801</v>
      </c>
    </row>
    <row r="52" spans="1:15" x14ac:dyDescent="0.25">
      <c r="A52" t="s">
        <v>252</v>
      </c>
      <c r="B52">
        <v>1017</v>
      </c>
      <c r="C52">
        <v>128</v>
      </c>
      <c r="D52" t="s">
        <v>207</v>
      </c>
      <c r="E52" t="s">
        <v>208</v>
      </c>
      <c r="F52" t="s">
        <v>209</v>
      </c>
      <c r="G52" t="s">
        <v>210</v>
      </c>
      <c r="H52" t="s">
        <v>211</v>
      </c>
      <c r="J52" s="1">
        <f t="shared" si="18"/>
        <v>576.32000000000005</v>
      </c>
      <c r="K52" s="1">
        <f t="shared" si="19"/>
        <v>1764.6446418656301</v>
      </c>
      <c r="L52" s="1">
        <f t="shared" si="20"/>
        <v>1313.7760000000001</v>
      </c>
      <c r="M52" s="1">
        <f t="shared" si="21"/>
        <v>97.429089890514007</v>
      </c>
      <c r="N52" s="1">
        <f t="shared" si="22"/>
        <v>1956.88915252685</v>
      </c>
    </row>
    <row r="53" spans="1:15" x14ac:dyDescent="0.25">
      <c r="A53" t="s">
        <v>252</v>
      </c>
      <c r="B53">
        <v>2044</v>
      </c>
      <c r="C53">
        <v>128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J53" s="1">
        <f t="shared" si="18"/>
        <v>1010.785</v>
      </c>
      <c r="K53" s="1">
        <f t="shared" si="19"/>
        <v>2022.19067358538</v>
      </c>
      <c r="L53" s="1">
        <f t="shared" si="20"/>
        <v>1328.434</v>
      </c>
      <c r="M53" s="1">
        <f t="shared" si="21"/>
        <v>96.354052967629499</v>
      </c>
      <c r="N53" s="1">
        <f t="shared" si="22"/>
        <v>2453.3526897430402</v>
      </c>
    </row>
    <row r="54" spans="1:15" x14ac:dyDescent="0.25">
      <c r="A54" t="s">
        <v>252</v>
      </c>
      <c r="B54">
        <v>4076</v>
      </c>
      <c r="C54">
        <v>128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J54" s="1">
        <f t="shared" si="18"/>
        <v>1281.8510000000001</v>
      </c>
      <c r="K54" s="1">
        <f t="shared" si="19"/>
        <v>3179.7767447230599</v>
      </c>
      <c r="L54" s="1">
        <f t="shared" si="20"/>
        <v>1358.5540000000001</v>
      </c>
      <c r="M54" s="1">
        <f t="shared" si="21"/>
        <v>94.217822773330994</v>
      </c>
      <c r="N54" s="1">
        <f t="shared" si="22"/>
        <v>2819.7910785674999</v>
      </c>
    </row>
    <row r="55" spans="1:15" x14ac:dyDescent="0.25">
      <c r="A55" t="s">
        <v>252</v>
      </c>
      <c r="B55">
        <v>6142</v>
      </c>
      <c r="C55">
        <v>128</v>
      </c>
      <c r="D55" t="s">
        <v>222</v>
      </c>
      <c r="E55" t="s">
        <v>223</v>
      </c>
      <c r="F55" t="s">
        <v>224</v>
      </c>
      <c r="G55" t="s">
        <v>225</v>
      </c>
      <c r="H55" t="s">
        <v>226</v>
      </c>
      <c r="J55" s="1">
        <f t="shared" si="18"/>
        <v>1674.454</v>
      </c>
      <c r="K55" s="1">
        <f t="shared" si="19"/>
        <v>3668.06135014757</v>
      </c>
      <c r="L55" s="1">
        <f t="shared" si="20"/>
        <v>1392.105</v>
      </c>
      <c r="M55" s="1">
        <f t="shared" si="21"/>
        <v>91.947087324591095</v>
      </c>
      <c r="N55" s="1">
        <f t="shared" si="22"/>
        <v>3285.1116657256998</v>
      </c>
    </row>
    <row r="56" spans="1:15" x14ac:dyDescent="0.25">
      <c r="A56" t="s">
        <v>252</v>
      </c>
      <c r="B56">
        <v>8164</v>
      </c>
      <c r="C56">
        <v>101</v>
      </c>
      <c r="D56" t="s">
        <v>227</v>
      </c>
      <c r="E56" t="s">
        <v>228</v>
      </c>
      <c r="F56" t="s">
        <v>229</v>
      </c>
      <c r="G56" t="s">
        <v>230</v>
      </c>
      <c r="H56" t="s">
        <v>231</v>
      </c>
      <c r="J56" s="1">
        <f t="shared" si="18"/>
        <v>1985.702</v>
      </c>
      <c r="K56" s="1">
        <f t="shared" si="19"/>
        <v>4111.3923438662996</v>
      </c>
      <c r="L56" s="1">
        <f t="shared" si="20"/>
        <v>1099.1569999999999</v>
      </c>
      <c r="M56" s="1">
        <f t="shared" si="21"/>
        <v>91.888601901275194</v>
      </c>
      <c r="N56" s="1">
        <f t="shared" si="22"/>
        <v>3382.6160430908199</v>
      </c>
    </row>
    <row r="57" spans="1:15" x14ac:dyDescent="0.25">
      <c r="A57" t="s">
        <v>252</v>
      </c>
      <c r="B57">
        <v>12280</v>
      </c>
      <c r="C57">
        <v>128</v>
      </c>
      <c r="D57" t="s">
        <v>232</v>
      </c>
      <c r="E57" t="s">
        <v>233</v>
      </c>
      <c r="F57" t="s">
        <v>234</v>
      </c>
      <c r="G57" t="s">
        <v>235</v>
      </c>
      <c r="H57" t="s">
        <v>236</v>
      </c>
      <c r="J57" s="1">
        <f t="shared" si="18"/>
        <v>2777.5790000000002</v>
      </c>
      <c r="K57" s="1">
        <f t="shared" si="19"/>
        <v>4421.1163750878004</v>
      </c>
      <c r="L57" s="1">
        <f t="shared" si="20"/>
        <v>1437.5419999999999</v>
      </c>
      <c r="M57" s="1">
        <f t="shared" si="21"/>
        <v>89.040876718732306</v>
      </c>
      <c r="N57" s="1">
        <f t="shared" si="22"/>
        <v>4583.1234455108597</v>
      </c>
    </row>
    <row r="58" spans="1:15" x14ac:dyDescent="0.25">
      <c r="A58" t="s">
        <v>252</v>
      </c>
      <c r="B58">
        <v>16373</v>
      </c>
      <c r="C58">
        <v>128</v>
      </c>
      <c r="D58" t="s">
        <v>237</v>
      </c>
      <c r="E58" t="s">
        <v>238</v>
      </c>
      <c r="F58" t="s">
        <v>239</v>
      </c>
      <c r="G58" t="s">
        <v>240</v>
      </c>
      <c r="H58" t="s">
        <v>241</v>
      </c>
      <c r="J58" s="1">
        <f t="shared" si="18"/>
        <v>3737.8919999999998</v>
      </c>
      <c r="K58" s="1">
        <f t="shared" si="19"/>
        <v>4380.2763696757402</v>
      </c>
      <c r="L58" s="1">
        <f t="shared" si="20"/>
        <v>1484.0730000000001</v>
      </c>
      <c r="M58" s="1">
        <f t="shared" si="21"/>
        <v>86.249126559138205</v>
      </c>
      <c r="N58" s="1">
        <f t="shared" si="22"/>
        <v>5674.7171878814697</v>
      </c>
    </row>
    <row r="59" spans="1:15" x14ac:dyDescent="0.25">
      <c r="A59" t="s">
        <v>252</v>
      </c>
      <c r="B59">
        <v>24560</v>
      </c>
      <c r="C59">
        <v>128</v>
      </c>
      <c r="D59" t="s">
        <v>242</v>
      </c>
      <c r="E59" t="s">
        <v>243</v>
      </c>
      <c r="F59" t="s">
        <v>244</v>
      </c>
      <c r="G59" t="s">
        <v>245</v>
      </c>
      <c r="H59" t="s">
        <v>246</v>
      </c>
      <c r="J59" s="1">
        <f t="shared" si="18"/>
        <v>6666.4920000000002</v>
      </c>
      <c r="K59" s="1">
        <f t="shared" si="19"/>
        <v>3684.0965233289098</v>
      </c>
      <c r="L59" s="1">
        <f t="shared" si="20"/>
        <v>1579.2370000000001</v>
      </c>
      <c r="M59" s="1">
        <f t="shared" si="21"/>
        <v>81.051799064991499</v>
      </c>
      <c r="N59" s="1">
        <f t="shared" si="22"/>
        <v>8857.2273254394495</v>
      </c>
    </row>
    <row r="60" spans="1:15" x14ac:dyDescent="0.25">
      <c r="A60" t="s">
        <v>252</v>
      </c>
      <c r="B60">
        <v>32761</v>
      </c>
      <c r="C60">
        <v>79</v>
      </c>
      <c r="D60" t="s">
        <v>247</v>
      </c>
      <c r="E60" t="s">
        <v>248</v>
      </c>
      <c r="F60" t="s">
        <v>249</v>
      </c>
      <c r="G60" t="s">
        <v>250</v>
      </c>
      <c r="H60" t="s">
        <v>251</v>
      </c>
      <c r="J60" s="1">
        <f t="shared" ref="J60:J75" si="23">VALUE(SUBSTITUTE(D60,".",","))</f>
        <v>9751.77</v>
      </c>
      <c r="K60" s="1">
        <f t="shared" si="19"/>
        <v>3359.4926869686201</v>
      </c>
      <c r="L60" s="1">
        <f t="shared" si="20"/>
        <v>1030.278</v>
      </c>
      <c r="M60" s="1">
        <f t="shared" si="21"/>
        <v>76.678333420688304</v>
      </c>
      <c r="N60" s="1">
        <f t="shared" si="22"/>
        <v>11608.091354370101</v>
      </c>
    </row>
    <row r="61" spans="1:15" x14ac:dyDescent="0.25">
      <c r="J61" t="s">
        <v>68</v>
      </c>
    </row>
    <row r="62" spans="1:15" x14ac:dyDescent="0.25">
      <c r="A62" s="2" t="s">
        <v>570</v>
      </c>
      <c r="B62" s="2"/>
      <c r="C62" s="2"/>
      <c r="D62" s="2"/>
      <c r="E62" s="2"/>
      <c r="F62" s="2"/>
      <c r="G62" s="2"/>
      <c r="H62" s="2"/>
      <c r="I62" s="2"/>
      <c r="J62" s="2" t="s">
        <v>68</v>
      </c>
      <c r="K62" s="2"/>
      <c r="L62" s="2"/>
      <c r="M62" s="2"/>
      <c r="N62" s="2"/>
      <c r="O62" t="s">
        <v>584</v>
      </c>
    </row>
    <row r="63" spans="1:15" x14ac:dyDescent="0.25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/>
      <c r="J63" s="2" t="s">
        <v>3</v>
      </c>
      <c r="K63" s="2" t="s">
        <v>4</v>
      </c>
      <c r="L63" s="2" t="s">
        <v>5</v>
      </c>
      <c r="M63" s="2" t="s">
        <v>6</v>
      </c>
      <c r="N63" s="2" t="s">
        <v>7</v>
      </c>
      <c r="O63" t="s">
        <v>583</v>
      </c>
    </row>
    <row r="64" spans="1:15" x14ac:dyDescent="0.25">
      <c r="A64" t="s">
        <v>313</v>
      </c>
      <c r="B64">
        <v>2784</v>
      </c>
      <c r="C64">
        <v>128</v>
      </c>
      <c r="D64" t="s">
        <v>253</v>
      </c>
      <c r="E64" t="s">
        <v>254</v>
      </c>
      <c r="F64" t="s">
        <v>255</v>
      </c>
      <c r="G64" t="s">
        <v>256</v>
      </c>
      <c r="H64" t="s">
        <v>257</v>
      </c>
      <c r="J64" s="1">
        <f t="shared" ref="J64:J75" si="24">VALUE(SUBSTITUTE(D64,".",","))</f>
        <v>1928.0229999999999</v>
      </c>
      <c r="K64" s="1">
        <f t="shared" ref="K64:K75" si="25">VALUE(SUBSTITUTE(E64,".",","))</f>
        <v>1443.9661767520399</v>
      </c>
      <c r="L64" s="1">
        <f t="shared" ref="L64:L75" si="26">VALUE(SUBSTITUTE(F64,".",","))</f>
        <v>1348.558</v>
      </c>
      <c r="M64" s="1">
        <f t="shared" ref="M64:M75" si="27">VALUE(SUBSTITUTE(G64,".",","))</f>
        <v>94.916199377409001</v>
      </c>
      <c r="N64" s="1">
        <f t="shared" ref="N64:N75" si="28">VALUE(SUBSTITUTE(H64,".",","))</f>
        <v>3304.39162254333</v>
      </c>
      <c r="O64" t="s">
        <v>583</v>
      </c>
    </row>
    <row r="65" spans="1:15" x14ac:dyDescent="0.25">
      <c r="A65" t="s">
        <v>313</v>
      </c>
      <c r="B65">
        <v>255</v>
      </c>
      <c r="C65">
        <v>128</v>
      </c>
      <c r="D65" t="s">
        <v>258</v>
      </c>
      <c r="E65" t="s">
        <v>259</v>
      </c>
      <c r="F65" t="s">
        <v>260</v>
      </c>
      <c r="G65" t="s">
        <v>261</v>
      </c>
      <c r="H65" t="s">
        <v>262</v>
      </c>
      <c r="J65" s="1">
        <f t="shared" si="24"/>
        <v>370.37900000000002</v>
      </c>
      <c r="K65" s="1">
        <f t="shared" si="25"/>
        <v>688.48395832377003</v>
      </c>
      <c r="L65" s="1">
        <f t="shared" si="26"/>
        <v>1312.3430000000001</v>
      </c>
      <c r="M65" s="1">
        <f t="shared" si="27"/>
        <v>97.535476624632395</v>
      </c>
      <c r="N65" s="1">
        <f t="shared" si="28"/>
        <v>1839.848279953</v>
      </c>
    </row>
    <row r="66" spans="1:15" x14ac:dyDescent="0.25">
      <c r="A66" t="s">
        <v>313</v>
      </c>
      <c r="B66">
        <v>504</v>
      </c>
      <c r="C66">
        <v>128</v>
      </c>
      <c r="D66" t="s">
        <v>263</v>
      </c>
      <c r="E66" t="s">
        <v>264</v>
      </c>
      <c r="F66" t="s">
        <v>265</v>
      </c>
      <c r="G66" t="s">
        <v>266</v>
      </c>
      <c r="H66" t="s">
        <v>267</v>
      </c>
      <c r="J66" s="1">
        <f t="shared" si="24"/>
        <v>457.89600000000002</v>
      </c>
      <c r="K66" s="1">
        <f t="shared" si="25"/>
        <v>1100.68661879553</v>
      </c>
      <c r="L66" s="1">
        <f t="shared" si="26"/>
        <v>1309.5609999999999</v>
      </c>
      <c r="M66" s="1">
        <f t="shared" si="27"/>
        <v>97.742678653380693</v>
      </c>
      <c r="N66" s="1">
        <f t="shared" si="28"/>
        <v>1806.1811923980699</v>
      </c>
      <c r="O66" t="s">
        <v>588</v>
      </c>
    </row>
    <row r="67" spans="1:15" x14ac:dyDescent="0.25">
      <c r="A67" t="s">
        <v>313</v>
      </c>
      <c r="B67">
        <v>1017</v>
      </c>
      <c r="C67">
        <v>128</v>
      </c>
      <c r="D67" t="s">
        <v>268</v>
      </c>
      <c r="E67" t="s">
        <v>269</v>
      </c>
      <c r="F67" t="s">
        <v>270</v>
      </c>
      <c r="G67" t="s">
        <v>271</v>
      </c>
      <c r="H67" t="s">
        <v>272</v>
      </c>
      <c r="J67" s="1">
        <f t="shared" si="24"/>
        <v>797.49300000000005</v>
      </c>
      <c r="K67" s="1">
        <f t="shared" si="25"/>
        <v>1275.2463031023401</v>
      </c>
      <c r="L67" s="1">
        <f t="shared" si="26"/>
        <v>1325.595</v>
      </c>
      <c r="M67" s="1">
        <f t="shared" si="27"/>
        <v>96.560412494012098</v>
      </c>
      <c r="N67" s="1">
        <f t="shared" si="28"/>
        <v>2185.3334903717</v>
      </c>
    </row>
    <row r="68" spans="1:15" x14ac:dyDescent="0.25">
      <c r="A68" t="s">
        <v>313</v>
      </c>
      <c r="B68">
        <v>2044</v>
      </c>
      <c r="C68">
        <v>128</v>
      </c>
      <c r="D68" t="s">
        <v>273</v>
      </c>
      <c r="E68" t="s">
        <v>274</v>
      </c>
      <c r="F68" t="s">
        <v>275</v>
      </c>
      <c r="G68" t="s">
        <v>276</v>
      </c>
      <c r="H68" t="s">
        <v>277</v>
      </c>
      <c r="J68" s="1">
        <f t="shared" si="24"/>
        <v>1375.8789999999999</v>
      </c>
      <c r="K68" s="1">
        <f t="shared" si="25"/>
        <v>1485.5957536963599</v>
      </c>
      <c r="L68" s="1">
        <f t="shared" si="26"/>
        <v>1334.31</v>
      </c>
      <c r="M68" s="1">
        <f t="shared" si="27"/>
        <v>95.929731471696897</v>
      </c>
      <c r="N68" s="1">
        <f t="shared" si="28"/>
        <v>2861.5248203277501</v>
      </c>
    </row>
    <row r="69" spans="1:15" x14ac:dyDescent="0.25">
      <c r="A69" t="s">
        <v>313</v>
      </c>
      <c r="B69">
        <v>4076</v>
      </c>
      <c r="C69">
        <v>128</v>
      </c>
      <c r="D69" t="s">
        <v>278</v>
      </c>
      <c r="E69" t="s">
        <v>279</v>
      </c>
      <c r="F69" t="s">
        <v>280</v>
      </c>
      <c r="G69" t="s">
        <v>281</v>
      </c>
      <c r="H69" t="s">
        <v>282</v>
      </c>
      <c r="J69" s="1">
        <f t="shared" si="24"/>
        <v>2674.22</v>
      </c>
      <c r="K69" s="1">
        <f t="shared" si="25"/>
        <v>1524.18275235395</v>
      </c>
      <c r="L69" s="1">
        <f t="shared" si="26"/>
        <v>1352.136</v>
      </c>
      <c r="M69" s="1">
        <f t="shared" si="27"/>
        <v>94.665033694835401</v>
      </c>
      <c r="N69" s="1">
        <f t="shared" si="28"/>
        <v>4218.2075977325403</v>
      </c>
    </row>
    <row r="70" spans="1:15" x14ac:dyDescent="0.25">
      <c r="A70" t="s">
        <v>313</v>
      </c>
      <c r="B70">
        <v>6142</v>
      </c>
      <c r="C70">
        <v>128</v>
      </c>
      <c r="D70" t="s">
        <v>283</v>
      </c>
      <c r="E70" t="s">
        <v>284</v>
      </c>
      <c r="F70" t="s">
        <v>285</v>
      </c>
      <c r="G70" t="s">
        <v>286</v>
      </c>
      <c r="H70" t="s">
        <v>287</v>
      </c>
      <c r="J70" s="1">
        <f t="shared" si="24"/>
        <v>3879.99</v>
      </c>
      <c r="K70" s="1">
        <f t="shared" si="25"/>
        <v>1582.9937706025</v>
      </c>
      <c r="L70" s="1">
        <f t="shared" si="26"/>
        <v>1377.3889999999999</v>
      </c>
      <c r="M70" s="1">
        <f t="shared" si="27"/>
        <v>92.929448398382704</v>
      </c>
      <c r="N70" s="1">
        <f t="shared" si="28"/>
        <v>5511.0406875610297</v>
      </c>
    </row>
    <row r="71" spans="1:15" x14ac:dyDescent="0.25">
      <c r="A71" t="s">
        <v>313</v>
      </c>
      <c r="B71">
        <v>8164</v>
      </c>
      <c r="C71">
        <v>128</v>
      </c>
      <c r="D71" t="s">
        <v>288</v>
      </c>
      <c r="E71" t="s">
        <v>289</v>
      </c>
      <c r="F71" t="s">
        <v>290</v>
      </c>
      <c r="G71" t="s">
        <v>291</v>
      </c>
      <c r="H71" t="s">
        <v>292</v>
      </c>
      <c r="J71" s="1">
        <f t="shared" si="24"/>
        <v>5288.9380000000001</v>
      </c>
      <c r="K71" s="1">
        <f t="shared" si="25"/>
        <v>1543.59911195782</v>
      </c>
      <c r="L71" s="1">
        <f t="shared" si="26"/>
        <v>1399.7639999999999</v>
      </c>
      <c r="M71" s="1">
        <f t="shared" si="27"/>
        <v>91.443986271971497</v>
      </c>
      <c r="N71" s="1">
        <f t="shared" si="28"/>
        <v>7005.2123069763102</v>
      </c>
    </row>
    <row r="72" spans="1:15" x14ac:dyDescent="0.25">
      <c r="A72" t="s">
        <v>313</v>
      </c>
      <c r="B72">
        <v>12280</v>
      </c>
      <c r="C72">
        <v>128</v>
      </c>
      <c r="D72" t="s">
        <v>293</v>
      </c>
      <c r="E72" t="s">
        <v>294</v>
      </c>
      <c r="F72" t="s">
        <v>295</v>
      </c>
      <c r="G72" t="s">
        <v>296</v>
      </c>
      <c r="H72" t="s">
        <v>297</v>
      </c>
      <c r="J72" s="1">
        <f t="shared" si="24"/>
        <v>8068.1120000000001</v>
      </c>
      <c r="K72" s="1">
        <f t="shared" si="25"/>
        <v>1522.0413400309701</v>
      </c>
      <c r="L72" s="1">
        <f t="shared" si="26"/>
        <v>1441.9269999999999</v>
      </c>
      <c r="M72" s="1">
        <f t="shared" si="27"/>
        <v>88.770097237932305</v>
      </c>
      <c r="N72" s="1">
        <f t="shared" si="28"/>
        <v>9903.90968322753</v>
      </c>
    </row>
    <row r="73" spans="1:15" x14ac:dyDescent="0.25">
      <c r="A73" t="s">
        <v>313</v>
      </c>
      <c r="B73">
        <v>16373</v>
      </c>
      <c r="C73">
        <v>128</v>
      </c>
      <c r="D73" t="s">
        <v>298</v>
      </c>
      <c r="E73" t="s">
        <v>299</v>
      </c>
      <c r="F73" t="s">
        <v>300</v>
      </c>
      <c r="G73" t="s">
        <v>301</v>
      </c>
      <c r="H73" t="s">
        <v>302</v>
      </c>
      <c r="J73" s="1">
        <f t="shared" si="24"/>
        <v>11085.572</v>
      </c>
      <c r="K73" s="1">
        <f t="shared" si="25"/>
        <v>1476.96483320842</v>
      </c>
      <c r="L73" s="1">
        <f t="shared" si="26"/>
        <v>1485.2</v>
      </c>
      <c r="M73" s="1">
        <f t="shared" si="27"/>
        <v>86.183678965795806</v>
      </c>
      <c r="N73" s="1">
        <f t="shared" si="28"/>
        <v>13081.3543796539</v>
      </c>
    </row>
    <row r="74" spans="1:15" x14ac:dyDescent="0.25">
      <c r="A74" t="s">
        <v>313</v>
      </c>
      <c r="B74">
        <v>24560</v>
      </c>
      <c r="C74">
        <v>128</v>
      </c>
      <c r="D74" t="s">
        <v>303</v>
      </c>
      <c r="E74" t="s">
        <v>304</v>
      </c>
      <c r="F74" t="s">
        <v>305</v>
      </c>
      <c r="G74" t="s">
        <v>306</v>
      </c>
      <c r="H74" t="s">
        <v>307</v>
      </c>
      <c r="J74" s="1">
        <f t="shared" si="24"/>
        <v>17405.085999999999</v>
      </c>
      <c r="K74" s="1">
        <f t="shared" si="25"/>
        <v>1411.0817952867301</v>
      </c>
      <c r="L74" s="1">
        <f t="shared" si="26"/>
        <v>1574.4929999999999</v>
      </c>
      <c r="M74" s="1">
        <f t="shared" si="27"/>
        <v>81.296010842855395</v>
      </c>
      <c r="N74" s="1">
        <f t="shared" si="28"/>
        <v>19653.759479522701</v>
      </c>
    </row>
    <row r="75" spans="1:15" x14ac:dyDescent="0.25">
      <c r="A75" t="s">
        <v>313</v>
      </c>
      <c r="B75">
        <v>32761</v>
      </c>
      <c r="C75">
        <v>128</v>
      </c>
      <c r="D75" t="s">
        <v>308</v>
      </c>
      <c r="E75" t="s">
        <v>309</v>
      </c>
      <c r="F75" t="s">
        <v>310</v>
      </c>
      <c r="G75" t="s">
        <v>311</v>
      </c>
      <c r="H75" t="s">
        <v>312</v>
      </c>
      <c r="J75" s="1">
        <f t="shared" ref="J75:J90" si="29">VALUE(SUBSTITUTE(D75,".",","))</f>
        <v>23987.999</v>
      </c>
      <c r="K75" s="1">
        <f t="shared" si="25"/>
        <v>1365.72458586479</v>
      </c>
      <c r="L75" s="1">
        <f t="shared" si="26"/>
        <v>1656.8409999999999</v>
      </c>
      <c r="M75" s="1">
        <f t="shared" si="27"/>
        <v>77.255451790485594</v>
      </c>
      <c r="N75" s="1">
        <f t="shared" si="28"/>
        <v>26549.992084503101</v>
      </c>
    </row>
    <row r="76" spans="1:15" x14ac:dyDescent="0.25">
      <c r="J76" t="s">
        <v>68</v>
      </c>
    </row>
    <row r="77" spans="1:15" x14ac:dyDescent="0.25">
      <c r="A77" s="2" t="s">
        <v>569</v>
      </c>
      <c r="B77" s="2"/>
      <c r="C77" s="2"/>
      <c r="D77" s="2"/>
      <c r="E77" s="2"/>
      <c r="F77" s="2"/>
      <c r="G77" s="2"/>
      <c r="H77" s="2"/>
      <c r="I77" s="2"/>
      <c r="J77" s="2" t="s">
        <v>68</v>
      </c>
      <c r="K77" s="2"/>
      <c r="L77" s="2"/>
      <c r="M77" s="2"/>
      <c r="N77" s="2"/>
      <c r="O77" t="s">
        <v>585</v>
      </c>
    </row>
    <row r="78" spans="1:15" x14ac:dyDescent="0.2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/>
      <c r="J78" s="2" t="s">
        <v>3</v>
      </c>
      <c r="K78" s="2" t="s">
        <v>4</v>
      </c>
      <c r="L78" s="2" t="s">
        <v>5</v>
      </c>
      <c r="M78" s="2" t="s">
        <v>6</v>
      </c>
      <c r="N78" s="2" t="s">
        <v>7</v>
      </c>
      <c r="O78" t="s">
        <v>562</v>
      </c>
    </row>
    <row r="79" spans="1:15" x14ac:dyDescent="0.25">
      <c r="A79" t="s">
        <v>374</v>
      </c>
      <c r="B79">
        <v>2784</v>
      </c>
      <c r="C79">
        <v>128</v>
      </c>
      <c r="D79" t="s">
        <v>314</v>
      </c>
      <c r="E79" t="s">
        <v>315</v>
      </c>
      <c r="F79" t="s">
        <v>316</v>
      </c>
      <c r="G79" t="s">
        <v>317</v>
      </c>
      <c r="H79" t="s">
        <v>318</v>
      </c>
      <c r="J79" s="1">
        <f t="shared" ref="J79:J90" si="30">VALUE(SUBSTITUTE(D79,".",","))</f>
        <v>1721.2370000000001</v>
      </c>
      <c r="K79" s="1">
        <f t="shared" ref="K79:K90" si="31">VALUE(SUBSTITUTE(E79,".",","))</f>
        <v>1617.44140986976</v>
      </c>
      <c r="L79" s="1">
        <f t="shared" ref="L79:L90" si="32">VALUE(SUBSTITUTE(F79,".",","))</f>
        <v>1347.0940000000001</v>
      </c>
      <c r="M79" s="1">
        <f t="shared" ref="M79:M90" si="33">VALUE(SUBSTITUTE(G79,".",","))</f>
        <v>95.019352769739896</v>
      </c>
      <c r="N79" s="1">
        <f t="shared" ref="N79:N90" si="34">VALUE(SUBSTITUTE(H79,".",","))</f>
        <v>3094.5358276367101</v>
      </c>
      <c r="O79" t="s">
        <v>593</v>
      </c>
    </row>
    <row r="80" spans="1:15" x14ac:dyDescent="0.25">
      <c r="A80" t="s">
        <v>374</v>
      </c>
      <c r="B80">
        <v>255</v>
      </c>
      <c r="C80">
        <v>128</v>
      </c>
      <c r="D80" t="s">
        <v>319</v>
      </c>
      <c r="E80" t="s">
        <v>320</v>
      </c>
      <c r="F80" t="s">
        <v>321</v>
      </c>
      <c r="G80" t="s">
        <v>322</v>
      </c>
      <c r="H80" t="s">
        <v>323</v>
      </c>
      <c r="J80" s="1">
        <f t="shared" si="30"/>
        <v>370.09100000000001</v>
      </c>
      <c r="K80" s="1">
        <f t="shared" si="31"/>
        <v>689.01972758051397</v>
      </c>
      <c r="L80" s="1">
        <f t="shared" si="32"/>
        <v>1308.0119999999999</v>
      </c>
      <c r="M80" s="1">
        <f t="shared" si="33"/>
        <v>97.858429433369096</v>
      </c>
      <c r="N80" s="1">
        <f t="shared" si="34"/>
        <v>1835.5484008789001</v>
      </c>
    </row>
    <row r="81" spans="1:15" x14ac:dyDescent="0.25">
      <c r="A81" t="s">
        <v>374</v>
      </c>
      <c r="B81">
        <v>504</v>
      </c>
      <c r="C81">
        <v>128</v>
      </c>
      <c r="D81" t="s">
        <v>324</v>
      </c>
      <c r="E81" t="s">
        <v>325</v>
      </c>
      <c r="F81" t="s">
        <v>326</v>
      </c>
      <c r="G81" t="s">
        <v>327</v>
      </c>
      <c r="H81" t="s">
        <v>328</v>
      </c>
      <c r="J81" s="1">
        <f t="shared" si="30"/>
        <v>456.50799999999998</v>
      </c>
      <c r="K81" s="1">
        <f t="shared" si="31"/>
        <v>1104.0332261428</v>
      </c>
      <c r="L81" s="1">
        <f t="shared" si="32"/>
        <v>1313.9190000000001</v>
      </c>
      <c r="M81" s="1">
        <f t="shared" si="33"/>
        <v>97.418486223275494</v>
      </c>
      <c r="N81" s="1">
        <f t="shared" si="34"/>
        <v>1809.19337272644</v>
      </c>
    </row>
    <row r="82" spans="1:15" x14ac:dyDescent="0.25">
      <c r="A82" t="s">
        <v>374</v>
      </c>
      <c r="B82">
        <v>1017</v>
      </c>
      <c r="C82">
        <v>128</v>
      </c>
      <c r="D82" t="s">
        <v>329</v>
      </c>
      <c r="E82" t="s">
        <v>330</v>
      </c>
      <c r="F82" t="s">
        <v>331</v>
      </c>
      <c r="G82" t="s">
        <v>332</v>
      </c>
      <c r="H82" t="s">
        <v>333</v>
      </c>
      <c r="J82" s="1">
        <f t="shared" si="30"/>
        <v>798.80499999999995</v>
      </c>
      <c r="K82" s="1">
        <f t="shared" si="31"/>
        <v>1273.1517704571199</v>
      </c>
      <c r="L82" s="1">
        <f t="shared" si="32"/>
        <v>1326.1510000000001</v>
      </c>
      <c r="M82" s="1">
        <f t="shared" si="33"/>
        <v>96.519928726065103</v>
      </c>
      <c r="N82" s="1">
        <f t="shared" si="34"/>
        <v>2191.54858589172</v>
      </c>
    </row>
    <row r="83" spans="1:15" x14ac:dyDescent="0.25">
      <c r="A83" t="s">
        <v>374</v>
      </c>
      <c r="B83">
        <v>2044</v>
      </c>
      <c r="C83">
        <v>128</v>
      </c>
      <c r="D83" t="s">
        <v>334</v>
      </c>
      <c r="E83" t="s">
        <v>335</v>
      </c>
      <c r="F83" t="s">
        <v>336</v>
      </c>
      <c r="G83" t="s">
        <v>337</v>
      </c>
      <c r="H83" t="s">
        <v>338</v>
      </c>
      <c r="J83" s="1">
        <f t="shared" si="30"/>
        <v>1382.5129999999999</v>
      </c>
      <c r="K83" s="1">
        <f t="shared" si="31"/>
        <v>1478.4671102550201</v>
      </c>
      <c r="L83" s="1">
        <f t="shared" si="32"/>
        <v>1331.845</v>
      </c>
      <c r="M83" s="1">
        <f t="shared" si="33"/>
        <v>96.107279751022006</v>
      </c>
      <c r="N83" s="1">
        <f t="shared" si="34"/>
        <v>2872.2612857818599</v>
      </c>
    </row>
    <row r="84" spans="1:15" x14ac:dyDescent="0.25">
      <c r="A84" t="s">
        <v>374</v>
      </c>
      <c r="B84">
        <v>4076</v>
      </c>
      <c r="C84">
        <v>128</v>
      </c>
      <c r="D84" t="s">
        <v>339</v>
      </c>
      <c r="E84" t="s">
        <v>340</v>
      </c>
      <c r="F84" t="s">
        <v>341</v>
      </c>
      <c r="G84" t="s">
        <v>342</v>
      </c>
      <c r="H84" t="s">
        <v>343</v>
      </c>
      <c r="J84" s="1">
        <f t="shared" si="30"/>
        <v>1878.74</v>
      </c>
      <c r="K84" s="1">
        <f t="shared" si="31"/>
        <v>2169.5391592237302</v>
      </c>
      <c r="L84" s="1">
        <f t="shared" si="32"/>
        <v>1358.085</v>
      </c>
      <c r="M84" s="1">
        <f t="shared" si="33"/>
        <v>94.250359881745197</v>
      </c>
      <c r="N84" s="1">
        <f t="shared" si="34"/>
        <v>3429.3398857116699</v>
      </c>
    </row>
    <row r="85" spans="1:15" x14ac:dyDescent="0.25">
      <c r="A85" t="s">
        <v>374</v>
      </c>
      <c r="B85">
        <v>6142</v>
      </c>
      <c r="C85">
        <v>128</v>
      </c>
      <c r="D85" t="s">
        <v>344</v>
      </c>
      <c r="E85" t="s">
        <v>345</v>
      </c>
      <c r="F85" t="s">
        <v>346</v>
      </c>
      <c r="G85" t="s">
        <v>347</v>
      </c>
      <c r="H85" t="s">
        <v>348</v>
      </c>
      <c r="J85" s="1">
        <f t="shared" si="30"/>
        <v>2501.8629999999998</v>
      </c>
      <c r="K85" s="1">
        <f t="shared" si="31"/>
        <v>2454.9705559417098</v>
      </c>
      <c r="L85" s="1">
        <f t="shared" si="32"/>
        <v>1376.0509999999999</v>
      </c>
      <c r="M85" s="1">
        <f t="shared" si="33"/>
        <v>93.019808132111393</v>
      </c>
      <c r="N85" s="1">
        <f t="shared" si="34"/>
        <v>4095.64161300659</v>
      </c>
    </row>
    <row r="86" spans="1:15" x14ac:dyDescent="0.25">
      <c r="A86" t="s">
        <v>374</v>
      </c>
      <c r="B86">
        <v>8164</v>
      </c>
      <c r="C86">
        <v>128</v>
      </c>
      <c r="D86" t="s">
        <v>349</v>
      </c>
      <c r="E86" t="s">
        <v>350</v>
      </c>
      <c r="F86" t="s">
        <v>351</v>
      </c>
      <c r="G86" t="s">
        <v>352</v>
      </c>
      <c r="H86" t="s">
        <v>353</v>
      </c>
      <c r="J86" s="1">
        <f t="shared" si="30"/>
        <v>3082.9009999999998</v>
      </c>
      <c r="K86" s="1">
        <f t="shared" si="31"/>
        <v>2648.1550980715801</v>
      </c>
      <c r="L86" s="1">
        <f t="shared" si="32"/>
        <v>1398.0830000000001</v>
      </c>
      <c r="M86" s="1">
        <f t="shared" si="33"/>
        <v>91.553934923749097</v>
      </c>
      <c r="N86" s="1">
        <f t="shared" si="34"/>
        <v>4788.1555557250904</v>
      </c>
    </row>
    <row r="87" spans="1:15" x14ac:dyDescent="0.25">
      <c r="A87" t="s">
        <v>374</v>
      </c>
      <c r="B87">
        <v>12280</v>
      </c>
      <c r="C87">
        <v>82</v>
      </c>
      <c r="D87" t="s">
        <v>354</v>
      </c>
      <c r="E87" t="s">
        <v>355</v>
      </c>
      <c r="F87" t="s">
        <v>356</v>
      </c>
      <c r="G87" t="s">
        <v>357</v>
      </c>
      <c r="H87" t="s">
        <v>358</v>
      </c>
      <c r="J87" s="1">
        <f t="shared" si="30"/>
        <v>4446.8370000000004</v>
      </c>
      <c r="K87" s="1">
        <f t="shared" si="31"/>
        <v>2761.5134082944701</v>
      </c>
      <c r="L87" s="1">
        <f t="shared" si="32"/>
        <v>921.52800000000002</v>
      </c>
      <c r="M87" s="1">
        <f t="shared" si="33"/>
        <v>88.9826462136798</v>
      </c>
      <c r="N87" s="1">
        <f t="shared" si="34"/>
        <v>5720.7267284393301</v>
      </c>
    </row>
    <row r="88" spans="1:15" x14ac:dyDescent="0.25">
      <c r="A88" t="s">
        <v>374</v>
      </c>
      <c r="B88">
        <v>16373</v>
      </c>
      <c r="C88">
        <v>128</v>
      </c>
      <c r="D88" t="s">
        <v>359</v>
      </c>
      <c r="E88" t="s">
        <v>360</v>
      </c>
      <c r="F88" t="s">
        <v>361</v>
      </c>
      <c r="G88" t="s">
        <v>362</v>
      </c>
      <c r="H88" t="s">
        <v>363</v>
      </c>
      <c r="J88" s="1">
        <f t="shared" si="30"/>
        <v>5935.6790000000001</v>
      </c>
      <c r="K88" s="1">
        <f t="shared" si="31"/>
        <v>2758.4038826897399</v>
      </c>
      <c r="L88" s="1">
        <f t="shared" si="32"/>
        <v>1485.4559999999999</v>
      </c>
      <c r="M88" s="1">
        <f t="shared" si="33"/>
        <v>86.168826272875094</v>
      </c>
      <c r="N88" s="1">
        <f t="shared" si="34"/>
        <v>7916.9211387634195</v>
      </c>
    </row>
    <row r="89" spans="1:15" x14ac:dyDescent="0.25">
      <c r="A89" t="s">
        <v>374</v>
      </c>
      <c r="B89">
        <v>24560</v>
      </c>
      <c r="C89">
        <v>128</v>
      </c>
      <c r="D89" t="s">
        <v>364</v>
      </c>
      <c r="E89" t="s">
        <v>365</v>
      </c>
      <c r="F89" t="s">
        <v>366</v>
      </c>
      <c r="G89" t="s">
        <v>367</v>
      </c>
      <c r="H89" t="s">
        <v>368</v>
      </c>
      <c r="J89" s="1">
        <f t="shared" si="30"/>
        <v>10176.379000000001</v>
      </c>
      <c r="K89" s="1">
        <f t="shared" si="31"/>
        <v>2413.4321255134</v>
      </c>
      <c r="L89" s="1">
        <f t="shared" si="32"/>
        <v>1571.675</v>
      </c>
      <c r="M89" s="1">
        <f t="shared" si="33"/>
        <v>81.441773903637795</v>
      </c>
      <c r="N89" s="1">
        <f t="shared" si="34"/>
        <v>12394.9375152587</v>
      </c>
    </row>
    <row r="90" spans="1:15" x14ac:dyDescent="0.25">
      <c r="A90" t="s">
        <v>374</v>
      </c>
      <c r="B90">
        <v>32761</v>
      </c>
      <c r="C90">
        <v>128</v>
      </c>
      <c r="D90" t="s">
        <v>369</v>
      </c>
      <c r="E90" t="s">
        <v>370</v>
      </c>
      <c r="F90" t="s">
        <v>371</v>
      </c>
      <c r="G90" t="s">
        <v>372</v>
      </c>
      <c r="H90" t="s">
        <v>373</v>
      </c>
      <c r="J90" s="1">
        <f t="shared" ref="J90:J105" si="35">VALUE(SUBSTITUTE(D90,".",","))</f>
        <v>14028.09</v>
      </c>
      <c r="K90" s="1">
        <f t="shared" si="31"/>
        <v>2335.3856440898198</v>
      </c>
      <c r="L90" s="1">
        <f t="shared" si="32"/>
        <v>1658.973</v>
      </c>
      <c r="M90" s="1">
        <f t="shared" si="33"/>
        <v>77.156168304125501</v>
      </c>
      <c r="N90" s="1">
        <f t="shared" si="34"/>
        <v>16605.611562728802</v>
      </c>
    </row>
    <row r="91" spans="1:15" x14ac:dyDescent="0.25">
      <c r="J91" t="s">
        <v>68</v>
      </c>
    </row>
    <row r="92" spans="1:15" x14ac:dyDescent="0.25">
      <c r="A92" s="2" t="s">
        <v>568</v>
      </c>
      <c r="B92" s="2"/>
      <c r="C92" s="2"/>
      <c r="D92" s="2"/>
      <c r="E92" s="2"/>
      <c r="F92" s="2"/>
      <c r="G92" s="2"/>
      <c r="H92" s="2"/>
      <c r="I92" s="2"/>
      <c r="J92" s="2" t="s">
        <v>68</v>
      </c>
      <c r="K92" s="2"/>
      <c r="L92" s="2"/>
      <c r="M92" s="2"/>
      <c r="N92" s="2"/>
      <c r="O92" t="s">
        <v>563</v>
      </c>
    </row>
    <row r="93" spans="1:15" x14ac:dyDescent="0.25">
      <c r="A93" s="2" t="s">
        <v>0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  <c r="I93" s="2"/>
      <c r="J93" s="2" t="s">
        <v>3</v>
      </c>
      <c r="K93" s="2" t="s">
        <v>4</v>
      </c>
      <c r="L93" s="2" t="s">
        <v>5</v>
      </c>
      <c r="M93" s="2" t="s">
        <v>6</v>
      </c>
      <c r="N93" s="2" t="s">
        <v>7</v>
      </c>
    </row>
    <row r="94" spans="1:15" x14ac:dyDescent="0.25">
      <c r="A94" t="s">
        <v>435</v>
      </c>
      <c r="B94">
        <v>255</v>
      </c>
      <c r="C94">
        <v>128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J94" s="1">
        <f t="shared" ref="J94:J105" si="36">VALUE(SUBSTITUTE(D94,".",","))</f>
        <v>3546.5239999999999</v>
      </c>
      <c r="K94" s="1">
        <f t="shared" ref="K94:K105" si="37">VALUE(SUBSTITUTE(E94,".",","))</f>
        <v>71.901388514500397</v>
      </c>
      <c r="L94" s="1">
        <f t="shared" ref="L94:L105" si="38">VALUE(SUBSTITUTE(F94,".",","))</f>
        <v>4537.08</v>
      </c>
      <c r="M94" s="1">
        <f t="shared" ref="M94:M105" si="39">VALUE(SUBSTITUTE(G94,".",","))</f>
        <v>28.2119777478025</v>
      </c>
      <c r="N94" s="1">
        <f t="shared" ref="N94:N105" si="40">VALUE(SUBSTITUTE(H94,".",","))</f>
        <v>8535.2003574371302</v>
      </c>
      <c r="O94" t="s">
        <v>586</v>
      </c>
    </row>
    <row r="95" spans="1:15" x14ac:dyDescent="0.25">
      <c r="A95" t="s">
        <v>435</v>
      </c>
      <c r="B95">
        <v>504</v>
      </c>
      <c r="C95">
        <v>128</v>
      </c>
      <c r="D95" t="s">
        <v>380</v>
      </c>
      <c r="E95" t="s">
        <v>381</v>
      </c>
      <c r="F95" t="s">
        <v>382</v>
      </c>
      <c r="G95" t="s">
        <v>383</v>
      </c>
      <c r="H95" t="s">
        <v>384</v>
      </c>
      <c r="J95" s="1">
        <f t="shared" si="36"/>
        <v>5786.5810000000001</v>
      </c>
      <c r="K95" s="1">
        <f t="shared" si="37"/>
        <v>87.098063606125905</v>
      </c>
      <c r="L95" s="1">
        <f t="shared" si="38"/>
        <v>4584.4579999999996</v>
      </c>
      <c r="M95" s="1">
        <f t="shared" si="39"/>
        <v>27.920421563464998</v>
      </c>
      <c r="N95" s="1">
        <f t="shared" si="40"/>
        <v>10759.3922615051</v>
      </c>
      <c r="O95" t="s">
        <v>589</v>
      </c>
    </row>
    <row r="96" spans="1:15" x14ac:dyDescent="0.25">
      <c r="A96" t="s">
        <v>435</v>
      </c>
      <c r="B96">
        <v>1017</v>
      </c>
      <c r="C96">
        <v>128</v>
      </c>
      <c r="D96" t="s">
        <v>385</v>
      </c>
      <c r="E96" t="s">
        <v>386</v>
      </c>
      <c r="F96" t="s">
        <v>387</v>
      </c>
      <c r="G96" t="s">
        <v>388</v>
      </c>
      <c r="H96" t="s">
        <v>389</v>
      </c>
      <c r="J96" s="1">
        <f t="shared" si="36"/>
        <v>10984.963</v>
      </c>
      <c r="K96" s="1">
        <f t="shared" si="37"/>
        <v>92.581103823472105</v>
      </c>
      <c r="L96" s="1">
        <f t="shared" si="38"/>
        <v>4618.0810000000001</v>
      </c>
      <c r="M96" s="1">
        <f t="shared" si="39"/>
        <v>27.7171405178904</v>
      </c>
      <c r="N96" s="1">
        <f t="shared" si="40"/>
        <v>16232.965946197501</v>
      </c>
      <c r="O96" t="s">
        <v>590</v>
      </c>
    </row>
    <row r="97" spans="1:15" x14ac:dyDescent="0.25">
      <c r="A97" t="s">
        <v>435</v>
      </c>
      <c r="B97">
        <v>2044</v>
      </c>
      <c r="C97">
        <v>128</v>
      </c>
      <c r="D97" t="s">
        <v>390</v>
      </c>
      <c r="E97" t="s">
        <v>391</v>
      </c>
      <c r="F97" t="s">
        <v>392</v>
      </c>
      <c r="G97" t="s">
        <v>393</v>
      </c>
      <c r="H97" t="s">
        <v>394</v>
      </c>
      <c r="J97" s="1">
        <f t="shared" si="36"/>
        <v>22628.330999999998</v>
      </c>
      <c r="K97" s="1">
        <f t="shared" si="37"/>
        <v>90.3292425764852</v>
      </c>
      <c r="L97" s="1">
        <f t="shared" si="38"/>
        <v>4666.7129999999997</v>
      </c>
      <c r="M97" s="1">
        <f t="shared" si="39"/>
        <v>27.4282991047446</v>
      </c>
      <c r="N97" s="1">
        <f t="shared" si="40"/>
        <v>27956.083774566599</v>
      </c>
    </row>
    <row r="98" spans="1:15" ht="60" x14ac:dyDescent="0.25">
      <c r="A98" t="s">
        <v>435</v>
      </c>
      <c r="B98">
        <v>4076</v>
      </c>
      <c r="C98">
        <v>128</v>
      </c>
      <c r="D98" t="s">
        <v>395</v>
      </c>
      <c r="E98" t="s">
        <v>396</v>
      </c>
      <c r="F98" t="s">
        <v>397</v>
      </c>
      <c r="G98" t="s">
        <v>398</v>
      </c>
      <c r="H98" t="s">
        <v>399</v>
      </c>
      <c r="J98" s="1">
        <f t="shared" si="36"/>
        <v>45610.072</v>
      </c>
      <c r="K98" s="1">
        <f t="shared" si="37"/>
        <v>89.366225951145097</v>
      </c>
      <c r="L98" s="1">
        <f t="shared" si="38"/>
        <v>4755.0240000000003</v>
      </c>
      <c r="M98" s="1">
        <f t="shared" si="39"/>
        <v>26.918896729017501</v>
      </c>
      <c r="N98" s="1">
        <f t="shared" si="40"/>
        <v>51288.168668746897</v>
      </c>
      <c r="O98" s="4" t="s">
        <v>595</v>
      </c>
    </row>
    <row r="99" spans="1:15" x14ac:dyDescent="0.25">
      <c r="A99" t="s">
        <v>435</v>
      </c>
      <c r="B99">
        <v>6142</v>
      </c>
      <c r="C99">
        <v>128</v>
      </c>
      <c r="D99" t="s">
        <v>400</v>
      </c>
      <c r="E99" t="s">
        <v>401</v>
      </c>
      <c r="F99" t="s">
        <v>402</v>
      </c>
      <c r="G99" t="s">
        <v>403</v>
      </c>
      <c r="H99" t="s">
        <v>404</v>
      </c>
      <c r="J99" s="1">
        <f t="shared" si="36"/>
        <v>71609.995999999999</v>
      </c>
      <c r="K99" s="1">
        <f t="shared" si="37"/>
        <v>85.7701486256192</v>
      </c>
      <c r="L99" s="1">
        <f t="shared" si="38"/>
        <v>4856.5969999999998</v>
      </c>
      <c r="M99" s="1">
        <f t="shared" si="39"/>
        <v>26.355903114876501</v>
      </c>
      <c r="N99" s="1">
        <f t="shared" si="40"/>
        <v>77626.217603683399</v>
      </c>
      <c r="O99" t="s">
        <v>580</v>
      </c>
    </row>
    <row r="100" spans="1:15" x14ac:dyDescent="0.25">
      <c r="A100" t="s">
        <v>435</v>
      </c>
      <c r="B100">
        <v>8164</v>
      </c>
      <c r="C100">
        <v>128</v>
      </c>
      <c r="D100" t="s">
        <v>405</v>
      </c>
      <c r="E100" t="s">
        <v>406</v>
      </c>
      <c r="F100" t="s">
        <v>407</v>
      </c>
      <c r="G100" t="s">
        <v>408</v>
      </c>
      <c r="H100" t="s">
        <v>409</v>
      </c>
      <c r="J100" s="1">
        <f t="shared" si="36"/>
        <v>96078.561000000002</v>
      </c>
      <c r="K100" s="1">
        <f t="shared" si="37"/>
        <v>84.972130254948297</v>
      </c>
      <c r="L100" s="1">
        <f t="shared" si="38"/>
        <v>4951.6469999999999</v>
      </c>
      <c r="M100" s="1">
        <f t="shared" si="39"/>
        <v>25.849984863622101</v>
      </c>
      <c r="N100" s="1">
        <f t="shared" si="40"/>
        <v>102584.223031997</v>
      </c>
      <c r="O100" t="s">
        <v>591</v>
      </c>
    </row>
    <row r="101" spans="1:15" x14ac:dyDescent="0.25">
      <c r="A101" t="s">
        <v>435</v>
      </c>
      <c r="B101">
        <v>12280</v>
      </c>
      <c r="C101">
        <v>128</v>
      </c>
      <c r="D101" t="s">
        <v>410</v>
      </c>
      <c r="E101" t="s">
        <v>411</v>
      </c>
      <c r="F101" t="s">
        <v>412</v>
      </c>
      <c r="G101" t="s">
        <v>413</v>
      </c>
      <c r="H101" t="s">
        <v>414</v>
      </c>
      <c r="J101" s="1">
        <f t="shared" si="36"/>
        <v>154191.15299999999</v>
      </c>
      <c r="K101" s="1">
        <f t="shared" si="37"/>
        <v>79.641404588238601</v>
      </c>
      <c r="L101" s="1">
        <f t="shared" si="38"/>
        <v>5156.2280000000001</v>
      </c>
      <c r="M101" s="1">
        <f t="shared" si="39"/>
        <v>24.824348341461999</v>
      </c>
      <c r="N101" s="1">
        <f t="shared" si="40"/>
        <v>161261.889219284</v>
      </c>
      <c r="O101" t="s">
        <v>592</v>
      </c>
    </row>
    <row r="102" spans="1:15" x14ac:dyDescent="0.25">
      <c r="A102" t="s">
        <v>435</v>
      </c>
      <c r="B102">
        <v>16373</v>
      </c>
      <c r="C102">
        <v>128</v>
      </c>
      <c r="D102" t="s">
        <v>415</v>
      </c>
      <c r="E102" t="s">
        <v>416</v>
      </c>
      <c r="F102" t="s">
        <v>417</v>
      </c>
      <c r="G102" t="s">
        <v>418</v>
      </c>
      <c r="H102" t="s">
        <v>419</v>
      </c>
      <c r="J102" s="1">
        <f t="shared" si="36"/>
        <v>213419.014</v>
      </c>
      <c r="K102" s="1">
        <f t="shared" si="37"/>
        <v>76.717625543898293</v>
      </c>
      <c r="L102" s="1">
        <f t="shared" si="38"/>
        <v>5343.6149999999998</v>
      </c>
      <c r="M102" s="1">
        <f t="shared" si="39"/>
        <v>23.953821523444301</v>
      </c>
      <c r="N102" s="1">
        <f t="shared" si="40"/>
        <v>221515.812397003</v>
      </c>
    </row>
    <row r="103" spans="1:15" x14ac:dyDescent="0.25">
      <c r="A103" t="s">
        <v>435</v>
      </c>
      <c r="B103">
        <v>24560</v>
      </c>
      <c r="C103">
        <v>128</v>
      </c>
      <c r="D103" t="s">
        <v>420</v>
      </c>
      <c r="E103" t="s">
        <v>421</v>
      </c>
      <c r="F103" t="s">
        <v>422</v>
      </c>
      <c r="G103" t="s">
        <v>423</v>
      </c>
      <c r="H103" t="s">
        <v>424</v>
      </c>
      <c r="J103" s="1">
        <f t="shared" si="36"/>
        <v>346628.266</v>
      </c>
      <c r="K103" s="1">
        <f t="shared" si="37"/>
        <v>70.854002425757102</v>
      </c>
      <c r="L103" s="1">
        <f t="shared" si="38"/>
        <v>5692.9110000000001</v>
      </c>
      <c r="M103" s="1">
        <f t="shared" si="39"/>
        <v>22.484103475357301</v>
      </c>
      <c r="N103" s="1">
        <f t="shared" si="40"/>
        <v>355912.97960281302</v>
      </c>
    </row>
    <row r="104" spans="1:15" x14ac:dyDescent="0.25">
      <c r="A104" t="s">
        <v>435</v>
      </c>
      <c r="B104">
        <v>32761</v>
      </c>
      <c r="C104">
        <v>128</v>
      </c>
      <c r="D104" t="s">
        <v>425</v>
      </c>
      <c r="E104" t="s">
        <v>426</v>
      </c>
      <c r="F104" t="s">
        <v>427</v>
      </c>
      <c r="G104" t="s">
        <v>428</v>
      </c>
      <c r="H104" t="s">
        <v>429</v>
      </c>
      <c r="J104" s="1">
        <f t="shared" si="36"/>
        <v>480363.31699999998</v>
      </c>
      <c r="K104" s="1">
        <f t="shared" si="37"/>
        <v>68.200461693456006</v>
      </c>
      <c r="L104" s="1">
        <f t="shared" si="38"/>
        <v>6021.6210000000001</v>
      </c>
      <c r="M104" s="1">
        <f t="shared" si="39"/>
        <v>21.2567346898783</v>
      </c>
      <c r="N104" s="1">
        <f t="shared" si="40"/>
        <v>491483.05535316397</v>
      </c>
    </row>
    <row r="105" spans="1:15" x14ac:dyDescent="0.25">
      <c r="A105" t="s">
        <v>435</v>
      </c>
      <c r="B105">
        <v>64423</v>
      </c>
      <c r="C105">
        <v>62</v>
      </c>
      <c r="D105" t="s">
        <v>430</v>
      </c>
      <c r="E105" t="s">
        <v>431</v>
      </c>
      <c r="F105" t="s">
        <v>432</v>
      </c>
      <c r="G105" t="s">
        <v>433</v>
      </c>
      <c r="H105" t="s">
        <v>434</v>
      </c>
      <c r="J105" s="1">
        <f t="shared" ref="J105:J120" si="41">VALUE(SUBSTITUTE(D105,".",","))</f>
        <v>1159884.702</v>
      </c>
      <c r="K105" s="1">
        <f t="shared" si="37"/>
        <v>55.5425896116353</v>
      </c>
      <c r="L105" s="1">
        <f t="shared" si="38"/>
        <v>3484.9769999999999</v>
      </c>
      <c r="M105" s="1">
        <f t="shared" si="39"/>
        <v>17.7906482596585</v>
      </c>
      <c r="N105" s="1">
        <f t="shared" si="40"/>
        <v>1170287.09197044</v>
      </c>
    </row>
    <row r="106" spans="1:15" x14ac:dyDescent="0.25">
      <c r="J106" t="s">
        <v>68</v>
      </c>
    </row>
    <row r="107" spans="1:15" x14ac:dyDescent="0.25">
      <c r="A107" s="2" t="s">
        <v>567</v>
      </c>
      <c r="B107" s="2"/>
      <c r="C107" s="2"/>
      <c r="D107" s="2"/>
      <c r="E107" s="2"/>
      <c r="F107" s="2"/>
      <c r="G107" s="2"/>
      <c r="H107" s="2"/>
      <c r="I107" s="2"/>
      <c r="J107" s="2" t="s">
        <v>68</v>
      </c>
      <c r="K107" s="2"/>
      <c r="L107" s="2"/>
      <c r="M107" s="2"/>
      <c r="N107" s="2"/>
      <c r="O107" t="s">
        <v>564</v>
      </c>
    </row>
    <row r="108" spans="1:15" x14ac:dyDescent="0.25">
      <c r="A108" s="2" t="s">
        <v>0</v>
      </c>
      <c r="B108" s="2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2" t="s">
        <v>6</v>
      </c>
      <c r="H108" s="2" t="s">
        <v>7</v>
      </c>
      <c r="I108" s="2"/>
      <c r="J108" s="2" t="s">
        <v>3</v>
      </c>
      <c r="K108" s="2" t="s">
        <v>4</v>
      </c>
      <c r="L108" s="2" t="s">
        <v>5</v>
      </c>
      <c r="M108" s="2" t="s">
        <v>6</v>
      </c>
      <c r="N108" s="2" t="s">
        <v>7</v>
      </c>
    </row>
    <row r="109" spans="1:15" x14ac:dyDescent="0.25">
      <c r="A109" t="s">
        <v>496</v>
      </c>
      <c r="B109">
        <v>255</v>
      </c>
      <c r="C109">
        <v>128</v>
      </c>
      <c r="D109" t="s">
        <v>436</v>
      </c>
      <c r="E109" t="s">
        <v>437</v>
      </c>
      <c r="F109" t="s">
        <v>438</v>
      </c>
      <c r="G109" t="s">
        <v>439</v>
      </c>
      <c r="H109" t="s">
        <v>440</v>
      </c>
      <c r="J109" s="1">
        <f t="shared" ref="J109:J120" si="42">VALUE(SUBSTITUTE(D109,".",","))</f>
        <v>2044.9069999999999</v>
      </c>
      <c r="K109" s="1">
        <f t="shared" ref="K109:K120" si="43">VALUE(SUBSTITUTE(E109,".",","))</f>
        <v>124.700047483822</v>
      </c>
      <c r="L109" s="1">
        <f t="shared" ref="L109:L120" si="44">VALUE(SUBSTITUTE(F109,".",","))</f>
        <v>4446.7539999999999</v>
      </c>
      <c r="M109" s="1">
        <f t="shared" ref="M109:M120" si="45">VALUE(SUBSTITUTE(G109,".",","))</f>
        <v>28.785041853001001</v>
      </c>
      <c r="N109" s="1">
        <f t="shared" ref="N109:N120" si="46">VALUE(SUBSTITUTE(H109,".",","))</f>
        <v>6914.3726825714102</v>
      </c>
    </row>
    <row r="110" spans="1:15" x14ac:dyDescent="0.25">
      <c r="A110" t="s">
        <v>496</v>
      </c>
      <c r="B110">
        <v>504</v>
      </c>
      <c r="C110">
        <v>128</v>
      </c>
      <c r="D110" t="s">
        <v>441</v>
      </c>
      <c r="E110" t="s">
        <v>442</v>
      </c>
      <c r="F110" t="s">
        <v>443</v>
      </c>
      <c r="G110" t="s">
        <v>444</v>
      </c>
      <c r="H110" t="s">
        <v>445</v>
      </c>
      <c r="J110" s="1">
        <f t="shared" si="42"/>
        <v>1941.867</v>
      </c>
      <c r="K110" s="1">
        <f t="shared" si="43"/>
        <v>259.54403674401999</v>
      </c>
      <c r="L110" s="1">
        <f t="shared" si="44"/>
        <v>4265.518</v>
      </c>
      <c r="M110" s="1">
        <f t="shared" si="45"/>
        <v>30.008078737447502</v>
      </c>
      <c r="N110" s="1">
        <f t="shared" si="46"/>
        <v>6571.4218616485596</v>
      </c>
    </row>
    <row r="111" spans="1:15" x14ac:dyDescent="0.25">
      <c r="A111" t="s">
        <v>496</v>
      </c>
      <c r="B111">
        <v>1017</v>
      </c>
      <c r="C111">
        <v>128</v>
      </c>
      <c r="D111" t="s">
        <v>446</v>
      </c>
      <c r="E111" t="s">
        <v>447</v>
      </c>
      <c r="F111" t="s">
        <v>448</v>
      </c>
      <c r="G111" t="s">
        <v>449</v>
      </c>
      <c r="H111" t="s">
        <v>450</v>
      </c>
      <c r="J111" s="1">
        <f t="shared" si="42"/>
        <v>2506.6239999999998</v>
      </c>
      <c r="K111" s="1">
        <f t="shared" si="43"/>
        <v>405.72499106367701</v>
      </c>
      <c r="L111" s="1">
        <f t="shared" si="44"/>
        <v>4293.1930000000002</v>
      </c>
      <c r="M111" s="1">
        <f t="shared" si="45"/>
        <v>29.814639127567698</v>
      </c>
      <c r="N111" s="1">
        <f t="shared" si="46"/>
        <v>7312.2687339782697</v>
      </c>
    </row>
    <row r="112" spans="1:15" x14ac:dyDescent="0.25">
      <c r="A112" t="s">
        <v>496</v>
      </c>
      <c r="B112">
        <v>2044</v>
      </c>
      <c r="C112">
        <v>128</v>
      </c>
      <c r="D112" t="s">
        <v>451</v>
      </c>
      <c r="E112" t="s">
        <v>452</v>
      </c>
      <c r="F112" t="s">
        <v>453</v>
      </c>
      <c r="G112" t="s">
        <v>454</v>
      </c>
      <c r="H112" t="s">
        <v>455</v>
      </c>
      <c r="J112" s="1">
        <f t="shared" si="42"/>
        <v>4550.165</v>
      </c>
      <c r="K112" s="1">
        <f t="shared" si="43"/>
        <v>449.21447903537501</v>
      </c>
      <c r="L112" s="1">
        <f t="shared" si="44"/>
        <v>4372.5730000000003</v>
      </c>
      <c r="M112" s="1">
        <f t="shared" si="45"/>
        <v>29.273382056743198</v>
      </c>
      <c r="N112" s="1">
        <f t="shared" si="46"/>
        <v>9602.5753021240198</v>
      </c>
    </row>
    <row r="113" spans="1:15" x14ac:dyDescent="0.25">
      <c r="A113" t="s">
        <v>496</v>
      </c>
      <c r="B113">
        <v>4076</v>
      </c>
      <c r="C113">
        <v>128</v>
      </c>
      <c r="D113" t="s">
        <v>456</v>
      </c>
      <c r="E113" t="s">
        <v>457</v>
      </c>
      <c r="F113" t="s">
        <v>458</v>
      </c>
      <c r="G113" t="s">
        <v>459</v>
      </c>
      <c r="H113" t="s">
        <v>460</v>
      </c>
      <c r="J113" s="1">
        <f t="shared" si="42"/>
        <v>9311.8639999999996</v>
      </c>
      <c r="K113" s="1">
        <f t="shared" si="43"/>
        <v>437.721169467251</v>
      </c>
      <c r="L113" s="1">
        <f t="shared" si="44"/>
        <v>4495.0479999999998</v>
      </c>
      <c r="M113" s="1">
        <f t="shared" si="45"/>
        <v>28.475780458851599</v>
      </c>
      <c r="N113" s="1">
        <f t="shared" si="46"/>
        <v>14641.4713859558</v>
      </c>
    </row>
    <row r="114" spans="1:15" x14ac:dyDescent="0.25">
      <c r="A114" t="s">
        <v>496</v>
      </c>
      <c r="B114">
        <v>6142</v>
      </c>
      <c r="C114">
        <v>128</v>
      </c>
      <c r="D114" t="s">
        <v>461</v>
      </c>
      <c r="E114" t="s">
        <v>462</v>
      </c>
      <c r="F114" t="s">
        <v>463</v>
      </c>
      <c r="G114" t="s">
        <v>464</v>
      </c>
      <c r="H114" t="s">
        <v>465</v>
      </c>
      <c r="J114" s="1">
        <f t="shared" si="42"/>
        <v>14072.196</v>
      </c>
      <c r="K114" s="1">
        <f t="shared" si="43"/>
        <v>436.46350576697398</v>
      </c>
      <c r="L114" s="1">
        <f t="shared" si="44"/>
        <v>4774.4719999999998</v>
      </c>
      <c r="M114" s="1">
        <f t="shared" si="45"/>
        <v>26.809247179583402</v>
      </c>
      <c r="N114" s="1">
        <f t="shared" si="46"/>
        <v>19961.986303329399</v>
      </c>
    </row>
    <row r="115" spans="1:15" x14ac:dyDescent="0.25">
      <c r="A115" t="s">
        <v>496</v>
      </c>
      <c r="B115">
        <v>8164</v>
      </c>
      <c r="C115">
        <v>128</v>
      </c>
      <c r="D115" t="s">
        <v>466</v>
      </c>
      <c r="E115" t="s">
        <v>467</v>
      </c>
      <c r="F115" t="s">
        <v>468</v>
      </c>
      <c r="G115" t="s">
        <v>469</v>
      </c>
      <c r="H115" t="s">
        <v>470</v>
      </c>
      <c r="J115" s="1">
        <f t="shared" si="42"/>
        <v>19586.751</v>
      </c>
      <c r="K115" s="1">
        <f t="shared" si="43"/>
        <v>416.812364643835</v>
      </c>
      <c r="L115" s="1">
        <f t="shared" si="44"/>
        <v>4844.6949999999997</v>
      </c>
      <c r="M115" s="1">
        <f t="shared" si="45"/>
        <v>26.420651867661402</v>
      </c>
      <c r="N115" s="1">
        <f t="shared" si="46"/>
        <v>25957.717180251999</v>
      </c>
    </row>
    <row r="116" spans="1:15" x14ac:dyDescent="0.25">
      <c r="A116" t="s">
        <v>496</v>
      </c>
      <c r="B116">
        <v>12280</v>
      </c>
      <c r="C116">
        <v>128</v>
      </c>
      <c r="D116" t="s">
        <v>471</v>
      </c>
      <c r="E116" t="s">
        <v>472</v>
      </c>
      <c r="F116" t="s">
        <v>473</v>
      </c>
      <c r="G116" t="s">
        <v>474</v>
      </c>
      <c r="H116" t="s">
        <v>475</v>
      </c>
      <c r="J116" s="1">
        <f t="shared" si="42"/>
        <v>33214.76</v>
      </c>
      <c r="K116" s="1">
        <f t="shared" si="43"/>
        <v>369.71515073419101</v>
      </c>
      <c r="L116" s="1">
        <f t="shared" si="44"/>
        <v>5047.1679999999997</v>
      </c>
      <c r="M116" s="1">
        <f t="shared" si="45"/>
        <v>25.360756764981801</v>
      </c>
      <c r="N116" s="1">
        <f t="shared" si="46"/>
        <v>40174.329996109002</v>
      </c>
    </row>
    <row r="117" spans="1:15" x14ac:dyDescent="0.25">
      <c r="A117" t="s">
        <v>496</v>
      </c>
      <c r="B117">
        <v>16373</v>
      </c>
      <c r="C117">
        <v>128</v>
      </c>
      <c r="D117" t="s">
        <v>476</v>
      </c>
      <c r="E117" t="s">
        <v>477</v>
      </c>
      <c r="F117" t="s">
        <v>478</v>
      </c>
      <c r="G117" t="s">
        <v>479</v>
      </c>
      <c r="H117" t="s">
        <v>480</v>
      </c>
      <c r="J117" s="1">
        <f t="shared" si="42"/>
        <v>47458.413999999997</v>
      </c>
      <c r="K117" s="1">
        <f t="shared" si="43"/>
        <v>344.99677970696598</v>
      </c>
      <c r="L117" s="1">
        <f t="shared" si="44"/>
        <v>5256.2619999999997</v>
      </c>
      <c r="M117" s="1">
        <f t="shared" si="45"/>
        <v>24.351906354744099</v>
      </c>
      <c r="N117" s="1">
        <f t="shared" si="46"/>
        <v>55394.552946090698</v>
      </c>
    </row>
    <row r="118" spans="1:15" x14ac:dyDescent="0.25">
      <c r="A118" t="s">
        <v>496</v>
      </c>
      <c r="B118">
        <v>24560</v>
      </c>
      <c r="C118">
        <v>128</v>
      </c>
      <c r="D118" t="s">
        <v>481</v>
      </c>
      <c r="E118" t="s">
        <v>482</v>
      </c>
      <c r="F118" t="s">
        <v>483</v>
      </c>
      <c r="G118" t="s">
        <v>484</v>
      </c>
      <c r="H118" t="s">
        <v>485</v>
      </c>
      <c r="J118" s="1">
        <f t="shared" si="42"/>
        <v>84875.122000000003</v>
      </c>
      <c r="K118" s="1">
        <f t="shared" si="43"/>
        <v>289.36629982104699</v>
      </c>
      <c r="L118" s="1">
        <f t="shared" si="44"/>
        <v>5594.3819999999996</v>
      </c>
      <c r="M118" s="1">
        <f t="shared" si="45"/>
        <v>22.8800964968069</v>
      </c>
      <c r="N118" s="1">
        <f t="shared" si="46"/>
        <v>94131.269931793198</v>
      </c>
    </row>
    <row r="119" spans="1:15" x14ac:dyDescent="0.25">
      <c r="A119" t="s">
        <v>496</v>
      </c>
      <c r="B119">
        <v>32761</v>
      </c>
      <c r="C119">
        <v>128</v>
      </c>
      <c r="D119" t="s">
        <v>486</v>
      </c>
      <c r="E119" t="s">
        <v>487</v>
      </c>
      <c r="F119" t="s">
        <v>488</v>
      </c>
      <c r="G119" t="s">
        <v>489</v>
      </c>
      <c r="H119" t="s">
        <v>490</v>
      </c>
      <c r="J119" s="1">
        <f t="shared" si="42"/>
        <v>125105.141</v>
      </c>
      <c r="K119" s="1">
        <f t="shared" si="43"/>
        <v>261.86773571519302</v>
      </c>
      <c r="L119" s="1">
        <f t="shared" si="44"/>
        <v>6032.5649999999996</v>
      </c>
      <c r="M119" s="1">
        <f t="shared" si="45"/>
        <v>21.218171706396799</v>
      </c>
      <c r="N119" s="1">
        <f t="shared" si="46"/>
        <v>136205.752372741</v>
      </c>
    </row>
    <row r="120" spans="1:15" x14ac:dyDescent="0.25">
      <c r="A120" t="s">
        <v>496</v>
      </c>
      <c r="B120">
        <v>64423</v>
      </c>
      <c r="C120">
        <v>128</v>
      </c>
      <c r="D120" t="s">
        <v>491</v>
      </c>
      <c r="E120" t="s">
        <v>492</v>
      </c>
      <c r="F120" t="s">
        <v>493</v>
      </c>
      <c r="G120" t="s">
        <v>494</v>
      </c>
      <c r="H120" t="s">
        <v>495</v>
      </c>
      <c r="J120" s="1">
        <f t="shared" ref="J120:J135" si="47">VALUE(SUBSTITUTE(D120,".",","))</f>
        <v>428164.06</v>
      </c>
      <c r="K120" s="1">
        <f t="shared" si="43"/>
        <v>150.46335276248999</v>
      </c>
      <c r="L120" s="1">
        <f t="shared" si="44"/>
        <v>7507.4520000000002</v>
      </c>
      <c r="M120" s="1">
        <f t="shared" si="45"/>
        <v>17.0497260588545</v>
      </c>
      <c r="N120" s="1">
        <f t="shared" si="46"/>
        <v>442568.51172447199</v>
      </c>
    </row>
    <row r="121" spans="1:15" x14ac:dyDescent="0.25">
      <c r="J121" t="s">
        <v>68</v>
      </c>
    </row>
    <row r="122" spans="1:15" x14ac:dyDescent="0.25">
      <c r="A122" s="2" t="s">
        <v>566</v>
      </c>
      <c r="B122" s="2"/>
      <c r="C122" s="2"/>
      <c r="D122" s="2"/>
      <c r="E122" s="2"/>
      <c r="F122" s="2"/>
      <c r="G122" s="2"/>
      <c r="H122" s="2"/>
      <c r="I122" s="2"/>
      <c r="J122" s="2" t="s">
        <v>68</v>
      </c>
      <c r="K122" s="2"/>
      <c r="L122" s="2"/>
      <c r="M122" s="2"/>
      <c r="N122" s="2"/>
      <c r="O122" t="s">
        <v>565</v>
      </c>
    </row>
    <row r="123" spans="1:15" x14ac:dyDescent="0.25">
      <c r="A123" s="2" t="s">
        <v>0</v>
      </c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7</v>
      </c>
      <c r="I123" s="2"/>
      <c r="J123" s="2" t="s">
        <v>3</v>
      </c>
      <c r="K123" s="2" t="s">
        <v>4</v>
      </c>
      <c r="L123" s="2" t="s">
        <v>5</v>
      </c>
      <c r="M123" s="2" t="s">
        <v>6</v>
      </c>
      <c r="N123" s="2" t="s">
        <v>7</v>
      </c>
    </row>
    <row r="124" spans="1:15" x14ac:dyDescent="0.25">
      <c r="A124" t="s">
        <v>557</v>
      </c>
      <c r="B124">
        <v>255</v>
      </c>
      <c r="C124">
        <v>128</v>
      </c>
      <c r="D124" t="s">
        <v>497</v>
      </c>
      <c r="E124" t="s">
        <v>498</v>
      </c>
      <c r="F124" t="s">
        <v>499</v>
      </c>
      <c r="G124" t="s">
        <v>500</v>
      </c>
      <c r="H124" t="s">
        <v>501</v>
      </c>
      <c r="J124" s="1">
        <f t="shared" ref="J124:J135" si="48">VALUE(SUBSTITUTE(D124,".",","))</f>
        <v>2239.9450000000002</v>
      </c>
      <c r="K124" s="1">
        <f t="shared" ref="K124:K135" si="49">VALUE(SUBSTITUTE(E124,".",","))</f>
        <v>113.842080943951</v>
      </c>
      <c r="L124" s="1">
        <f t="shared" ref="L124:L135" si="50">VALUE(SUBSTITUTE(F124,".",","))</f>
        <v>4437.8829999999998</v>
      </c>
      <c r="M124" s="1">
        <f t="shared" ref="M124:M135" si="51">VALUE(SUBSTITUTE(G124,".",","))</f>
        <v>28.8425810234294</v>
      </c>
      <c r="N124" s="1">
        <f t="shared" ref="N124:N135" si="52">VALUE(SUBSTITUTE(H124,".",","))</f>
        <v>7135.6053352355902</v>
      </c>
    </row>
    <row r="125" spans="1:15" x14ac:dyDescent="0.25">
      <c r="A125" t="s">
        <v>557</v>
      </c>
      <c r="B125">
        <v>504</v>
      </c>
      <c r="C125">
        <v>128</v>
      </c>
      <c r="D125" t="s">
        <v>502</v>
      </c>
      <c r="E125" t="s">
        <v>503</v>
      </c>
      <c r="F125" t="s">
        <v>504</v>
      </c>
      <c r="G125" t="s">
        <v>505</v>
      </c>
      <c r="H125" t="s">
        <v>506</v>
      </c>
      <c r="J125" s="1">
        <f t="shared" si="48"/>
        <v>2389.7080000000001</v>
      </c>
      <c r="K125" s="1">
        <f t="shared" si="49"/>
        <v>210.904428490844</v>
      </c>
      <c r="L125" s="1">
        <f t="shared" si="50"/>
        <v>4266.41</v>
      </c>
      <c r="M125" s="1">
        <f t="shared" si="51"/>
        <v>30.001804796069699</v>
      </c>
      <c r="N125" s="1">
        <f t="shared" si="52"/>
        <v>7088.0904197692798</v>
      </c>
    </row>
    <row r="126" spans="1:15" x14ac:dyDescent="0.25">
      <c r="A126" t="s">
        <v>557</v>
      </c>
      <c r="B126">
        <v>1017</v>
      </c>
      <c r="C126">
        <v>128</v>
      </c>
      <c r="D126" t="s">
        <v>507</v>
      </c>
      <c r="E126" t="s">
        <v>508</v>
      </c>
      <c r="F126" t="s">
        <v>509</v>
      </c>
      <c r="G126" t="s">
        <v>510</v>
      </c>
      <c r="H126" t="s">
        <v>511</v>
      </c>
      <c r="J126" s="1">
        <f t="shared" si="48"/>
        <v>4372.5789999999997</v>
      </c>
      <c r="K126" s="1">
        <f t="shared" si="49"/>
        <v>232.585849220791</v>
      </c>
      <c r="L126" s="1">
        <f t="shared" si="50"/>
        <v>4267.5889999999999</v>
      </c>
      <c r="M126" s="1">
        <f t="shared" si="51"/>
        <v>29.993516245355298</v>
      </c>
      <c r="N126" s="1">
        <f t="shared" si="52"/>
        <v>9296.2660789489692</v>
      </c>
    </row>
    <row r="127" spans="1:15" x14ac:dyDescent="0.25">
      <c r="A127" t="s">
        <v>557</v>
      </c>
      <c r="B127">
        <v>2044</v>
      </c>
      <c r="C127">
        <v>128</v>
      </c>
      <c r="D127" t="s">
        <v>512</v>
      </c>
      <c r="E127" t="s">
        <v>513</v>
      </c>
      <c r="F127" t="s">
        <v>514</v>
      </c>
      <c r="G127" t="s">
        <v>515</v>
      </c>
      <c r="H127" t="s">
        <v>516</v>
      </c>
      <c r="J127" s="1">
        <f t="shared" si="48"/>
        <v>8477.0310000000009</v>
      </c>
      <c r="K127" s="1">
        <f t="shared" si="49"/>
        <v>241.122157038236</v>
      </c>
      <c r="L127" s="1">
        <f t="shared" si="50"/>
        <v>4359.9089999999997</v>
      </c>
      <c r="M127" s="1">
        <f t="shared" si="51"/>
        <v>29.358410920961798</v>
      </c>
      <c r="N127" s="1">
        <f t="shared" si="52"/>
        <v>13597.677230834899</v>
      </c>
    </row>
    <row r="128" spans="1:15" x14ac:dyDescent="0.25">
      <c r="A128" t="s">
        <v>557</v>
      </c>
      <c r="B128">
        <v>4076</v>
      </c>
      <c r="C128">
        <v>128</v>
      </c>
      <c r="D128" t="s">
        <v>517</v>
      </c>
      <c r="E128" t="s">
        <v>518</v>
      </c>
      <c r="F128" t="s">
        <v>519</v>
      </c>
      <c r="G128" t="s">
        <v>520</v>
      </c>
      <c r="H128" t="s">
        <v>521</v>
      </c>
      <c r="J128" s="1">
        <f t="shared" si="48"/>
        <v>17275.547999999999</v>
      </c>
      <c r="K128" s="1">
        <f t="shared" si="49"/>
        <v>235.94041705652401</v>
      </c>
      <c r="L128" s="1">
        <f t="shared" si="50"/>
        <v>4601.4409999999998</v>
      </c>
      <c r="M128" s="1">
        <f t="shared" si="51"/>
        <v>27.817372862109899</v>
      </c>
      <c r="N128" s="1">
        <f t="shared" si="52"/>
        <v>22843.188524246201</v>
      </c>
    </row>
    <row r="129" spans="1:14" x14ac:dyDescent="0.25">
      <c r="A129" t="s">
        <v>557</v>
      </c>
      <c r="B129">
        <v>6142</v>
      </c>
      <c r="C129">
        <v>128</v>
      </c>
      <c r="D129" t="s">
        <v>522</v>
      </c>
      <c r="E129" t="s">
        <v>523</v>
      </c>
      <c r="F129" t="s">
        <v>524</v>
      </c>
      <c r="G129" t="s">
        <v>525</v>
      </c>
      <c r="H129" t="s">
        <v>526</v>
      </c>
      <c r="J129" s="1">
        <f t="shared" si="48"/>
        <v>27119.481</v>
      </c>
      <c r="K129" s="1">
        <f t="shared" si="49"/>
        <v>226.47926042537401</v>
      </c>
      <c r="L129" s="1">
        <f t="shared" si="50"/>
        <v>4530.0569999999998</v>
      </c>
      <c r="M129" s="1">
        <f t="shared" si="51"/>
        <v>28.255715104688498</v>
      </c>
      <c r="N129" s="1">
        <f t="shared" si="52"/>
        <v>32909.121513366699</v>
      </c>
    </row>
    <row r="130" spans="1:14" x14ac:dyDescent="0.25">
      <c r="A130" t="s">
        <v>557</v>
      </c>
      <c r="B130">
        <v>8164</v>
      </c>
      <c r="C130">
        <v>128</v>
      </c>
      <c r="D130" t="s">
        <v>527</v>
      </c>
      <c r="E130" t="s">
        <v>528</v>
      </c>
      <c r="F130" t="s">
        <v>529</v>
      </c>
      <c r="G130" t="s">
        <v>530</v>
      </c>
      <c r="H130" t="s">
        <v>531</v>
      </c>
      <c r="J130" s="1">
        <f t="shared" si="48"/>
        <v>37634.154000000002</v>
      </c>
      <c r="K130" s="1">
        <f t="shared" si="49"/>
        <v>216.93061042371201</v>
      </c>
      <c r="L130" s="1">
        <f t="shared" si="50"/>
        <v>4813.25</v>
      </c>
      <c r="M130" s="1">
        <f t="shared" si="51"/>
        <v>26.5932581935282</v>
      </c>
      <c r="N130" s="1">
        <f t="shared" si="52"/>
        <v>44078.502178192102</v>
      </c>
    </row>
    <row r="131" spans="1:14" x14ac:dyDescent="0.25">
      <c r="A131" t="s">
        <v>557</v>
      </c>
      <c r="B131">
        <v>12280</v>
      </c>
      <c r="C131">
        <v>128</v>
      </c>
      <c r="D131" t="s">
        <v>532</v>
      </c>
      <c r="E131" t="s">
        <v>533</v>
      </c>
      <c r="F131" t="s">
        <v>534</v>
      </c>
      <c r="G131" t="s">
        <v>535</v>
      </c>
      <c r="H131" t="s">
        <v>536</v>
      </c>
      <c r="J131" s="1">
        <f t="shared" si="48"/>
        <v>62486.044000000002</v>
      </c>
      <c r="K131" s="1">
        <f t="shared" si="49"/>
        <v>196.52388299697699</v>
      </c>
      <c r="L131" s="1">
        <f t="shared" si="50"/>
        <v>4769.2179999999998</v>
      </c>
      <c r="M131" s="1">
        <f t="shared" si="51"/>
        <v>26.838781536092501</v>
      </c>
      <c r="N131" s="1">
        <f t="shared" si="52"/>
        <v>69302.350759506196</v>
      </c>
    </row>
    <row r="132" spans="1:14" x14ac:dyDescent="0.25">
      <c r="A132" t="s">
        <v>557</v>
      </c>
      <c r="B132">
        <v>16373</v>
      </c>
      <c r="C132">
        <v>128</v>
      </c>
      <c r="D132" t="s">
        <v>537</v>
      </c>
      <c r="E132" t="s">
        <v>538</v>
      </c>
      <c r="F132" t="s">
        <v>539</v>
      </c>
      <c r="G132" t="s">
        <v>540</v>
      </c>
      <c r="H132" t="s">
        <v>541</v>
      </c>
      <c r="J132" s="1">
        <f t="shared" si="48"/>
        <v>90569.994999999995</v>
      </c>
      <c r="K132" s="1">
        <f t="shared" si="49"/>
        <v>180.77730930646501</v>
      </c>
      <c r="L132" s="1">
        <f t="shared" si="50"/>
        <v>4963.28</v>
      </c>
      <c r="M132" s="1">
        <f t="shared" si="51"/>
        <v>25.789397334021</v>
      </c>
      <c r="N132" s="1">
        <f t="shared" si="52"/>
        <v>98344.700098037705</v>
      </c>
    </row>
    <row r="133" spans="1:14" x14ac:dyDescent="0.25">
      <c r="A133" t="s">
        <v>557</v>
      </c>
      <c r="B133">
        <v>24560</v>
      </c>
      <c r="C133">
        <v>128</v>
      </c>
      <c r="D133" t="s">
        <v>542</v>
      </c>
      <c r="E133" t="s">
        <v>543</v>
      </c>
      <c r="F133" t="s">
        <v>544</v>
      </c>
      <c r="G133" t="s">
        <v>545</v>
      </c>
      <c r="H133" t="s">
        <v>546</v>
      </c>
      <c r="J133" s="1">
        <f t="shared" si="48"/>
        <v>158368.508</v>
      </c>
      <c r="K133" s="1">
        <f t="shared" si="49"/>
        <v>155.081337256773</v>
      </c>
      <c r="L133" s="1">
        <f t="shared" si="50"/>
        <v>5310.4350000000004</v>
      </c>
      <c r="M133" s="1">
        <f t="shared" si="51"/>
        <v>24.103486814168701</v>
      </c>
      <c r="N133" s="1">
        <f t="shared" si="52"/>
        <v>167479.22921180699</v>
      </c>
    </row>
    <row r="134" spans="1:14" x14ac:dyDescent="0.25">
      <c r="A134" t="s">
        <v>557</v>
      </c>
      <c r="B134">
        <v>32761</v>
      </c>
      <c r="C134">
        <v>128</v>
      </c>
      <c r="D134" t="s">
        <v>547</v>
      </c>
      <c r="E134" t="s">
        <v>548</v>
      </c>
      <c r="F134" t="s">
        <v>549</v>
      </c>
      <c r="G134" t="s">
        <v>550</v>
      </c>
      <c r="H134" t="s">
        <v>551</v>
      </c>
      <c r="J134" s="1">
        <f t="shared" si="48"/>
        <v>239926.45800000001</v>
      </c>
      <c r="K134" s="1">
        <f t="shared" si="49"/>
        <v>136.54600777709899</v>
      </c>
      <c r="L134" s="1">
        <f t="shared" si="50"/>
        <v>5793.5249999999996</v>
      </c>
      <c r="M134" s="1">
        <f t="shared" si="51"/>
        <v>22.093630389098099</v>
      </c>
      <c r="N134" s="1">
        <f t="shared" si="52"/>
        <v>250947.41964340201</v>
      </c>
    </row>
    <row r="135" spans="1:14" x14ac:dyDescent="0.25">
      <c r="A135" t="s">
        <v>557</v>
      </c>
      <c r="B135">
        <v>64423</v>
      </c>
      <c r="C135">
        <v>128</v>
      </c>
      <c r="D135" t="s">
        <v>552</v>
      </c>
      <c r="E135" t="s">
        <v>553</v>
      </c>
      <c r="F135" t="s">
        <v>554</v>
      </c>
      <c r="G135" t="s">
        <v>555</v>
      </c>
      <c r="H135" t="s">
        <v>556</v>
      </c>
      <c r="J135" s="1">
        <f t="shared" si="48"/>
        <v>701186.72100000002</v>
      </c>
      <c r="K135" s="1">
        <f t="shared" si="49"/>
        <v>91.877096457449795</v>
      </c>
      <c r="L135" s="1">
        <f t="shared" si="50"/>
        <v>7105.7139999999999</v>
      </c>
      <c r="M135" s="1">
        <f t="shared" si="51"/>
        <v>18.013671813979499</v>
      </c>
      <c r="N135" s="1">
        <f t="shared" si="52"/>
        <v>715334.47933196998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Лист1</vt:lpstr>
      <vt:lpstr>Лист1!_10xP104_ub32_191922</vt:lpstr>
      <vt:lpstr>Лист1!_10xP104_ub32_turbo_171748</vt:lpstr>
      <vt:lpstr>Лист1!_10xP104_ub512_205641_best_baseline</vt:lpstr>
      <vt:lpstr>Лист1!_4xRTX_3090_ub768_214051</vt:lpstr>
      <vt:lpstr>Лист1!_4xRTX_3090_ub768_turbo_214309</vt:lpstr>
      <vt:lpstr>Лист1!_5xRTX_5060_ub768_145602</vt:lpstr>
      <vt:lpstr>Лист1!_5xRTX_5060_ub768_turbo_145406</vt:lpstr>
      <vt:lpstr>Лист1!_8xRTX_5060_ub768_133700</vt:lpstr>
      <vt:lpstr>Лист1!_8xRTX_5060_ub768_turbo_133458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Надежда</dc:creator>
  <cp:lastModifiedBy>Надежда</cp:lastModifiedBy>
  <dcterms:created xsi:type="dcterms:W3CDTF">2015-06-05T18:19:34Z</dcterms:created>
  <dcterms:modified xsi:type="dcterms:W3CDTF">2026-06-05T12:21:45Z</dcterms:modified>
</cp:coreProperties>
</file>